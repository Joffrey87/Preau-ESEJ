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05" windowWidth="22050" windowHeight="9420"/>
  </bookViews>
  <sheets>
    <sheet name="Vos comptes" sheetId="16" r:id="R7baf3755ba2d4855"/>
    <sheet name="Cpt 02901 00020166901" sheetId="17" r:id="R1d35f287e1cd46d5"/>
    <sheet name="hidden_data" sheetId="11" r:id="rId1" state="veryHidden"/>
    <sheet name="hidden" sheetId="1" state="veryHidden" r:id="rId6"/>
  </sheets>
  <definedNames>
    <definedName name="_xlnm.Print_Area" localSheetId="0">'Vos comptes'!$A$1:$D$4</definedName>
    <definedName name="_xlnm._FilterDatabase" localSheetId="1" hidden="1">'Cpt 02901 00020166901'!$A$5:$E$5</definedName>
    <definedName name="_xlnm.Print_Area" localSheetId="1">'Cpt 02901 00020166901'!$A$1:$F$96</definedName>
  </definedNames>
  <calcPr calcId="162913"/>
</workbook>
</file>

<file path=xl/sharedStrings.xml><?xml version="1.0" encoding="utf-8"?>
<sst xmlns="http://schemas.openxmlformats.org/spreadsheetml/2006/main" count="126" uniqueCount="126">
  <si>
    <t>Votre situation financière au 08/08/2026</t>
  </si>
  <si>
    <t>Compte</t>
  </si>
  <si>
    <t>R.I.B.</t>
  </si>
  <si>
    <t>Solde</t>
  </si>
  <si>
    <t>Dev</t>
  </si>
  <si>
    <t>C/C Eurocompte Asso Tranquillité ASSOCIATION REMOISE POUR L'INSTRUCT</t>
  </si>
  <si>
    <t>10278 02901 00020166901</t>
  </si>
  <si>
    <t>EUR</t>
  </si>
  <si>
    <t>Situation de votre compte C/C Eurocompte Asso Tranquillité ASSOCIATION REMOISE POUR L'INSTRUCT (EUR) au 08/08/2026</t>
  </si>
  <si>
    <t>R.I.B. : 10278 02901 00020166901</t>
  </si>
  <si>
    <t xml:space="preserve">Solde initial : </t>
  </si>
  <si>
    <t>Liste de vos comptes</t>
  </si>
  <si>
    <t>Date</t>
  </si>
  <si>
    <t>Valeur</t>
  </si>
  <si>
    <t>Libellé</t>
  </si>
  <si>
    <t>Débit</t>
  </si>
  <si>
    <t>Crédit</t>
  </si>
  <si>
    <t>VRST REF08864B04</t>
  </si>
  <si>
    <t>VIR INST M.OU MME LETELLIER BRUNO</t>
  </si>
  <si>
    <t>FACT SGT26029010000569 DONT TVA 1,93EUR</t>
  </si>
  <si>
    <t>REM CHQ REF08864R08</t>
  </si>
  <si>
    <t>VIR INST MADAME CHARLOTTE DUFOU VK616123G07X7601</t>
  </si>
  <si>
    <t>VIR M OLIVIER TREHARD REPONSE AU DEFI PREMIER VERSEMENT 2026</t>
  </si>
  <si>
    <t>VIR M.OU MME PICARD AXEL 10278-20-26163380009748 ESEJ FRAIS DE SCOLARITE</t>
  </si>
  <si>
    <t>VIR M DUFOUR ALEXIS OU MME D VIR. DE M DUFOUR ALEXIS OU MME DUFO UR CH</t>
  </si>
  <si>
    <t>VIR INST M. ET L. IMMOBILIER VK61633HESGAFF01</t>
  </si>
  <si>
    <t>REM CHQ REF08864R25</t>
  </si>
  <si>
    <t>VIR INST M OU MME GROS FRANCOIS SCOLARITE JUIN 2027</t>
  </si>
  <si>
    <t>VIR INST CHANOINE CAMILLE OU HADRIEN FIN DE SCOLARITE OCTAVE CHANOINE ET MOIS</t>
  </si>
  <si>
    <t>PRLV SEPA URSSAF CHAMPAGNE ARDE BQE121726166072110RCUR000000412 UR 217000001141838647 MAI 26752855825000150626</t>
  </si>
  <si>
    <t>VRST REF08864B00</t>
  </si>
  <si>
    <t>VIR INST C2H2B DON EXCEPTIONNEL</t>
  </si>
  <si>
    <t>VIR INST FIDEM CONSEIL VK61673H233FNC01</t>
  </si>
  <si>
    <t>VIR INST SALIS CREATION MARCHE VK6167420T7A2301</t>
  </si>
  <si>
    <t>VIR INST MARCHE PRINTEMPS VK61674259FCFL01</t>
  </si>
  <si>
    <t>VIR INST MARCHE PRINTEMPS SAINT VK616742ECAZRR01</t>
  </si>
  <si>
    <t>VIR INST FAC-2026/05-75 VK616742J3AS6P01</t>
  </si>
  <si>
    <t>VIR INST MARCHE PRINTEMPS ALFAR VK616742RPEWNM01</t>
  </si>
  <si>
    <t>VIR INST MARCHE PRINTEMPS AMELI VK616742W05Y4A01</t>
  </si>
  <si>
    <t>VIR INST MARCHE PRINTEMPS BRIN VK6167436FQVDL01</t>
  </si>
  <si>
    <t>VIR INST MARCHE PRINTEMPS KERVI VK616747NNVAZQ01</t>
  </si>
  <si>
    <t>VIR INST FACTURE REAUTE VK61674A62VS7901</t>
  </si>
  <si>
    <t>VIR M.OU MME CROISON FRANCOI 10278-20-26168370004340 M.OU MME CROISON FRANCOIS</t>
  </si>
  <si>
    <t>VIR INST M.OU MME DE BLIC PIERRE-EMMANUE FOURNITURE MS DE BLIC</t>
  </si>
  <si>
    <t>VIR INST M.OU MME DE BLIC PIERRE-EMMANUE FOURNITURES GS DE BLIC</t>
  </si>
  <si>
    <t>VIR ACHAT FOURNITURE COLLECTIO</t>
  </si>
  <si>
    <t>PRLV SEPA DIRECTION GENERALE DE 3205104407J7WK9Q5VMPLPYJQXIUO0S9XB TLR SEPA DGFIP IMPOT-PAS-DSN-15062026-052026-91117985100025</t>
  </si>
  <si>
    <t>VIR INST COLLECTION PAPILLON VK61681TYQFH9D01</t>
  </si>
  <si>
    <t>PRLV SEPA ALPRO COTISATIONS RET G0117606386 RETRAITE - ALPRO COTISATIONS RETRAITE - 202605M - SIRET 91117985100025</t>
  </si>
  <si>
    <t>VIR STRIPE TECHNOLOGY EUROPE 10278-20-26176420022286 HELLOASSO 3426311 24-06-2026 Z2D0P7</t>
  </si>
  <si>
    <t>VIR INST MADEMOISELLE EULALIE D VK61801T66TDKB01</t>
  </si>
  <si>
    <t>VRST REF08864B00 P0160076751</t>
  </si>
  <si>
    <t>VIR INST M.OU MME WARNAN BAPTISTE FOURNITURES MS</t>
  </si>
  <si>
    <t>REM CHQ N9835848 REF1027808864</t>
  </si>
  <si>
    <t>VIR INST CHANOINE CAMILLE OU HADRIEN BENEVOLAT CHANOINE ET CAHIERS PAPILLON</t>
  </si>
  <si>
    <t>REL 2602813 135 VH618234F6WNVH01</t>
  </si>
  <si>
    <t>VIR MR OU MME BETH AUGUSTIN 10278-20-26183040055893 CAHIERS PAPILLON BETH</t>
  </si>
  <si>
    <t>VIR INST MADEMOISELLE CLEMENCE VK618323C3897701</t>
  </si>
  <si>
    <t>VIR INST MME COLLINET DE LA SALLE AGATHE CAHIERS PAPILLON. MS CP</t>
  </si>
  <si>
    <t>VIR INST MME ASTRID LETELLIER OU M PIERR CAHIER PAPILLON LETELLIER GS</t>
  </si>
  <si>
    <t>VIR INST MME LAPORTE MANY MARIE-VICTOIRE CAHIERS PAPILLON MS - LAPORTE MANY</t>
  </si>
  <si>
    <t>AIDE FONDATION POUR L ECOLE VK61832Q1TKPFK01 CODON FPE 250626</t>
  </si>
  <si>
    <t>VIR INST M. ET L. IMMOBILIER VK61842XZGLKQD01</t>
  </si>
  <si>
    <t>VIR INST MADAME CHARLOTTE DUFOU VK61842Y1NFCTU01</t>
  </si>
  <si>
    <t>VIR INST REMBOURSEMENT SORTIE S VK6184323Y5FHR01</t>
  </si>
  <si>
    <t>VIR INST MANUELS SCOLAIRES VK6184326GM5W301</t>
  </si>
  <si>
    <t>RET 030726 ERETRAIT REF08864B00 IDENTIFIANT **2683</t>
  </si>
  <si>
    <t>VIR INST ALEXIS DUFOUR VK6186395D1N8H01</t>
  </si>
  <si>
    <t>VIR INST R.C.D. CORMONTREUIL VK618639W635UV01</t>
  </si>
  <si>
    <t>PRLV SEPA FREE TELECOM FHD-1484178423 FREE HAUTDEBIT 1484178423</t>
  </si>
  <si>
    <t>PRLV SEPA GENERALI IARD SA TIGR24062026E64298 CONTRAT AT560315-240620261537455</t>
  </si>
  <si>
    <t>VIR INST ANNE-CHARLOTTE LARROQU VK61872YEBDUYN01</t>
  </si>
  <si>
    <t>VIR INST COLLECTION PAPILLON REMBOURSEMENT COLLECTION PAPILLON</t>
  </si>
  <si>
    <t>VIR INST REMBOURSEMENT ACHATS VK61884DGWY4NW01</t>
  </si>
  <si>
    <t>VIR INST M DUFOUR ALEXIS OU MME DUFOUR C VIR. DE M DUFOUR ALEXIS OU MME DUFOUR CH</t>
  </si>
  <si>
    <t>VIR HELLOASSOPAY N6QP1LR0RGY1YE0 HELLOASSO 3458170 07-07-2026</t>
  </si>
  <si>
    <t>VIR INST MME GUILLEMETTE BOUCHER ACHAT CAHIERS PAPILLON CP</t>
  </si>
  <si>
    <t>VIR INST CYNTHIA COTTEL CAHIER PAUL COTTEL</t>
  </si>
  <si>
    <t>FACT SGT26029010000677 DONT TVA 1,93EUR</t>
  </si>
  <si>
    <t>VIR INST M OU MME GROS FRANCOIS VIR. DE M OU MME GROS FRANCOIS</t>
  </si>
  <si>
    <t>PRLV SEPA URSSAF CHAMPAGNE ARDE BQE121726196072442RCUR000003352 UR 217000001141838647 JUIN26752855825000150726</t>
  </si>
  <si>
    <t>VIR M.OU MME PICARD AXEL 10278-20-26197330036014 ESEJ FRAIS DE SCOLARITE</t>
  </si>
  <si>
    <t>VIR M.OU MME CROISON FRANCOI 10278-20-26198320044502 M.OU MME CROISON FRANCOIS</t>
  </si>
  <si>
    <t>VIR AMITIE SAINTE ANNE REFERENCE NON TRANSMISE REL 2602913</t>
  </si>
  <si>
    <t>PRLV SEPA SIE REIMS EST 320510440BYD2736ZNHR7Y5R6HMGG73PY TLR SEPA DGFIP IMPOT-PAS-DSN-15072026-062026-91117985100025</t>
  </si>
  <si>
    <t>VIR INST FIDEM CONSEIL VK62042S75H2BD01</t>
  </si>
  <si>
    <t>VIR FACTURE TEQUI MARCHE</t>
  </si>
  <si>
    <t>PRLV SEPA ALPRO COTISATIONS RET G0119045921 RETRAITE - ALPRO COTISATIONS RETRAITE - 202606M - SIRET 91117985100025</t>
  </si>
  <si>
    <t>PRLV SEPA HUMANIS PREVOYANCE PL 618710203522 COTISATIONS</t>
  </si>
  <si>
    <t>PRLV SEPA HUMANIS PREVOYANCE PL 618710203523 COTISATIONS</t>
  </si>
  <si>
    <t>PRLV SEPA HUMANIS PREVOYANCE PL 619816011556 COTISATIONS</t>
  </si>
  <si>
    <t>VIR INST JOFFREY LENOBLE VIREMENT DE JOFFREY LENOBLE</t>
  </si>
  <si>
    <t>VIR INST MADEMOISELLE EULALIE D VK62142YG5A0K601</t>
  </si>
  <si>
    <t>VIR INST M.OU MME DE BLIC PIERRE-EMMANUE BLIC MOIS AVANCE ALBANE CONSTANCE</t>
  </si>
  <si>
    <t>PRLV SEPA FREE TELECOM FHD-1491763502 FREE HAUTDEBIT 1491763502</t>
  </si>
  <si>
    <t>PRLV SEPA GENERALI IARD SA TIGR26072026E47618 CONTRAT AT560315-260720261499642</t>
  </si>
  <si>
    <t>VIR AMITIE SAINTE ANNE REFERENCE NON TRANSMISE REL 2603018</t>
  </si>
  <si>
    <t>VIR INST STRIPE HELLOASSO354340006082026</t>
  </si>
  <si>
    <t>VIR M OLIVIER TREHARD 032026217222644120000001</t>
  </si>
  <si>
    <t>VIR INST MADEMOISELLE CLEMENCE VK62182P1HURJB01</t>
  </si>
  <si>
    <t>VIR HELLOASSOPAY 7Q6N14N65PN95RK HELLOASSO 3523258 06-08-2026</t>
  </si>
  <si>
    <t>VIR INST MADAME CHARLOTTE DUFOU VK621846TMU0N301</t>
  </si>
  <si>
    <t>VIR INST M. ET L. IMMOBILIER VK6218472SBQRN01</t>
  </si>
  <si>
    <t xml:space="preserve">Solde au 08/08/2026 : </t>
  </si>
  <si>
    <t>Nombre de compte</t>
  </si>
  <si>
    <t>1</t>
  </si>
  <si>
    <t>Nom du compte</t>
  </si>
  <si>
    <t xml:space="preserve">Range </t>
  </si>
  <si>
    <t>Type</t>
  </si>
  <si>
    <t>Cpt 02901 00020166901</t>
  </si>
  <si>
    <t>A6:E93</t>
  </si>
  <si>
    <t>cpt</t>
  </si>
  <si>
    <t>Account_list_template</t>
  </si>
  <si>
    <t>cb_template</t>
  </si>
  <si>
    <t>cpt_template</t>
  </si>
  <si>
    <t>cpt_template_1col</t>
  </si>
  <si>
    <t>4</t>
  </si>
  <si>
    <t>Cpt 37116 00010269805</t>
  </si>
  <si>
    <t>A6:E5</t>
  </si>
  <si>
    <t>Cpt 37116 00010269802</t>
  </si>
  <si>
    <t>A6:E23</t>
  </si>
  <si>
    <t>CB 37116 00010269802 # 052021</t>
  </si>
  <si>
    <t>A7:C7</t>
  </si>
  <si>
    <t>cb</t>
  </si>
  <si>
    <t>CB 37116 00010269802 # 042021</t>
  </si>
  <si>
    <t>A7:C30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</si>
</sst>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3">
    <font>
      <sz val="11"/>
      <color theme="1" tint="0"/>
      <name val="Calibri"/>
      <family val="2"/>
      <scheme val="minor"/>
    </font>
    <font>
      <b/>
      <sz val="11"/>
      <color theme="1" tint="0"/>
      <name val="Calibri"/>
      <family val="2"/>
      <scheme val="minor"/>
    </font>
    <font>
      <sz val="10"/>
      <color rgb="FF262626" tint="0"/>
      <name val="Verdana"/>
      <family val="2"/>
    </font>
    <font>
      <u/>
      <sz val="10"/>
      <color rgb="FF4170A9" tint="0"/>
      <name val="Verdana"/>
      <family val="2"/>
    </font>
    <font>
      <b/>
      <sz val="10"/>
      <color rgb="FF262626" tint="0"/>
      <name val="Verdana"/>
      <family val="2"/>
    </font>
    <font>
      <b/>
      <sz val="10"/>
      <color rgb="FFFFFFFF" tint="0"/>
      <name val="Verdana"/>
      <family val="2"/>
    </font>
    <font>
      <b/>
      <i/>
      <sz val="10"/>
      <color rgb="FF262626" tint="0"/>
      <name val="Verdana"/>
      <family val="2"/>
    </font>
    <font>
      <b/>
      <sz val="11"/>
      <color theme="1" tint="0"/>
      <name val="Verdana"/>
      <family val="2"/>
    </font>
    <font>
      <b/>
      <sz val="10"/>
      <color theme="1" tint="0"/>
      <name val="Verdana"/>
      <family val="2"/>
    </font>
    <font>
      <sz val="10"/>
      <color theme="1" tint="0"/>
      <name val="Verdana"/>
      <family val="2"/>
    </font>
    <font>
      <sz val="10"/>
      <color theme="1" tint="0"/>
      <name val="Calibri"/>
      <family val="2"/>
      <scheme val="minor"/>
    </font>
    <font>
      <sz val="11"/>
      <color theme="1" tint="0"/>
      <name val="Verdana"/>
      <family val="2"/>
    </font>
    <font>
      <b/>
      <i/>
      <sz val="10"/>
      <color theme="1" tint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173A9" tint="0"/>
      </patternFill>
    </fill>
    <fill>
      <patternFill patternType="solid">
        <fgColor rgb="FFD5E1EF" tint="0"/>
      </patternFill>
    </fill>
    <fill>
      <patternFill patternType="solid">
        <fgColor theme="4" tint="0.39997558519241921"/>
        <bgColor indexed="64" tint="0"/>
      </patternFill>
    </fill>
    <fill>
      <patternFill patternType="solid">
        <fgColor theme="4" tint="0.79998168889431442"/>
        <bgColor indexed="64" tint="0"/>
      </patternFill>
    </fill>
  </fills>
  <borders count="15">
    <border>
      <left/>
      <right/>
      <top/>
      <bottom/>
      <diagonal/>
    </border>
    <border>
      <left/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 style="thin">
        <color rgb="FF666666" tint="0"/>
      </left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/>
      <right/>
      <top style="thin">
        <color rgb="FF666666" tint="0"/>
      </top>
      <bottom style="thin">
        <color rgb="FF666666" tint="0"/>
      </bottom>
      <diagonal/>
    </border>
    <border>
      <left style="thin">
        <color indexed="64" tint="0"/>
      </left>
      <right style="thin">
        <color indexed="64" tint="0"/>
      </right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/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 style="thin">
        <color rgb="FF666666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/>
      <top/>
      <bottom style="thin">
        <color rgb="FF666666" tint="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2">
      <alignment horizontal="center"/>
    </xf>
  </cellStyleXfs>
  <cellXfs count="78">
    <xf numFmtId="0" fontId="0" fillId="0" borderId="0" xfId="0"/>
    <xf numFmtId="0" fontId="1" fillId="0" borderId="0" xfId="0"/>
    <xf numFmtId="0" fontId="5" fillId="2" borderId="2" xfId="4">
      <alignment horizontal="center" vertical="center"/>
    </xf>
    <xf numFmtId="0" fontId="2" fillId="0" borderId="0" xfId="0"/>
    <xf numFmtId="14" fontId="5" fillId="2" borderId="2" xfId="4">
      <alignment horizontal="center" vertical="center"/>
    </xf>
    <xf numFmtId="14" fontId="2" fillId="0" borderId="0" xfId="0"/>
    <xf numFmtId="0" fontId="5" fillId="2" borderId="2" xfId="4">
      <alignment horizontal="center"/>
    </xf>
    <xf numFmtId="0" fontId="9" fillId="0" borderId="0" xfId="0"/>
    <xf numFmtId="0" fontId="10" fillId="0" borderId="0" xfId="0"/>
    <xf numFmtId="0" fontId="0" fillId="0" borderId="0" xfId="0"/>
    <xf numFmtId="0" fontId="2" fillId="0" borderId="0" xfId="1"/>
    <xf numFmtId="14" fontId="2" fillId="3" borderId="7" xfId="0">
      <alignment vertical="center"/>
    </xf>
    <xf numFmtId="0" fontId="9" fillId="0" borderId="4" xfId="0">
      <alignment horizontal="left" vertical="center"/>
    </xf>
    <xf numFmtId="14" fontId="9" fillId="0" borderId="7" xfId="0">
      <alignment vertical="center"/>
    </xf>
    <xf numFmtId="14" fontId="9" fillId="0" borderId="6" xfId="0">
      <alignment vertical="center"/>
    </xf>
    <xf numFmtId="14" fontId="2" fillId="3" borderId="4" xfId="0">
      <alignment vertical="center"/>
    </xf>
    <xf numFmtId="14" fontId="9" fillId="0" borderId="4" xfId="0">
      <alignment vertical="center"/>
    </xf>
    <xf numFmtId="14" fontId="9" fillId="0" borderId="5" xfId="0">
      <alignment vertical="center"/>
    </xf>
    <xf numFmtId="2" fontId="9" fillId="0" borderId="4" xfId="0">
      <alignment horizontal="right" vertical="center"/>
    </xf>
    <xf numFmtId="2" fontId="2" fillId="3" borderId="4" xfId="0">
      <alignment horizontal="right" vertical="center"/>
    </xf>
    <xf numFmtId="2" fontId="9" fillId="0" borderId="5" xfId="0">
      <alignment horizontal="right" vertical="center"/>
    </xf>
    <xf numFmtId="2" fontId="2" fillId="3" borderId="4" xfId="0">
      <alignment horizontal="right" vertical="center" wrapText="1"/>
    </xf>
    <xf numFmtId="2" fontId="2" fillId="3" borderId="1" xfId="0">
      <alignment vertical="center"/>
    </xf>
    <xf numFmtId="14" fontId="2" fillId="3" borderId="6" xfId="0">
      <alignment vertical="center"/>
    </xf>
    <xf numFmtId="2" fontId="2" fillId="3" borderId="5" xfId="0">
      <alignment horizontal="right" vertical="center" wrapText="1"/>
    </xf>
    <xf numFmtId="14" fontId="2" fillId="3" borderId="5" xfId="0">
      <alignment vertical="center"/>
    </xf>
    <xf numFmtId="2" fontId="2" fillId="3" borderId="5" xfId="0">
      <alignment horizontal="right" vertical="center"/>
    </xf>
    <xf numFmtId="0" fontId="3" fillId="0" borderId="4" xfId="2">
      <alignment vertical="center"/>
    </xf>
    <xf numFmtId="0" fontId="3" fillId="0" borderId="5" xfId="2">
      <alignment vertical="center"/>
    </xf>
    <xf numFmtId="0" fontId="9" fillId="0" borderId="5" xfId="0">
      <alignment vertical="center"/>
    </xf>
    <xf numFmtId="0" fontId="9" fillId="0" borderId="4" xfId="0">
      <alignment vertical="center"/>
    </xf>
    <xf numFmtId="2" fontId="9" fillId="0" borderId="4" xfId="0">
      <alignment vertical="center"/>
    </xf>
    <xf numFmtId="2" fontId="9" fillId="0" borderId="5" xfId="0">
      <alignment vertical="center"/>
    </xf>
    <xf numFmtId="0" fontId="11" fillId="0" borderId="0" xfId="0"/>
    <xf numFmtId="0" fontId="9" fillId="0" borderId="12" xfId="0"/>
    <xf numFmtId="0" fontId="9" fillId="0" borderId="0" xfId="0"/>
    <xf numFmtId="0" fontId="9" fillId="0" borderId="13" xfId="0">
      <alignment horizontal="left"/>
    </xf>
    <xf numFmtId="0" fontId="9" fillId="0" borderId="0" xfId="0">
      <alignment horizontal="left"/>
    </xf>
    <xf numFmtId="0" fontId="9" fillId="5" borderId="11" xfId="0">
      <alignment horizontal="left"/>
    </xf>
    <xf numFmtId="2" fontId="9" fillId="0" borderId="4" xfId="0">
      <alignment horizontal="left" vertical="center"/>
    </xf>
    <xf numFmtId="2" fontId="2" fillId="3" borderId="4" xfId="0">
      <alignment horizontal="left" vertical="center" wrapText="1"/>
    </xf>
    <xf numFmtId="2" fontId="9" fillId="0" borderId="5" xfId="0">
      <alignment horizontal="left" vertical="center"/>
    </xf>
    <xf numFmtId="0" fontId="9" fillId="0" borderId="12" xfId="0">
      <alignment horizontal="left"/>
    </xf>
    <xf numFmtId="2" fontId="2" fillId="3" borderId="5" xfId="0">
      <alignment horizontal="left" vertical="center" wrapText="1"/>
    </xf>
    <xf numFmtId="0" fontId="9" fillId="0" borderId="4" xfId="0"/>
    <xf numFmtId="0" fontId="2" fillId="3" borderId="4" xfId="0"/>
    <xf numFmtId="0" fontId="9" fillId="0" borderId="5" xfId="0"/>
    <xf numFmtId="0" fontId="9" fillId="0" borderId="12" xfId="0"/>
    <xf numFmtId="0" fontId="2" fillId="3" borderId="5" xfId="0"/>
    <xf numFmtId="0" fontId="9" fillId="0" borderId="10" xfId="0"/>
    <xf numFmtId="0" fontId="9" fillId="0" borderId="0" xfId="0"/>
    <xf numFmtId="2" fontId="9" fillId="0" borderId="10" xfId="0">
      <alignment vertical="center"/>
    </xf>
    <xf numFmtId="0" fontId="9" fillId="0" borderId="7" xfId="0"/>
    <xf numFmtId="0" fontId="9" fillId="0" borderId="7" xfId="0">
      <alignment horizontal="left" vertical="center"/>
    </xf>
    <xf numFmtId="2" fontId="9" fillId="0" borderId="7" xfId="0"/>
    <xf numFmtId="0" fontId="5" fillId="2" borderId="2" xfId="4">
      <alignment horizontal="center" vertical="center" wrapText="1"/>
    </xf>
    <xf numFmtId="0" fontId="2" fillId="0" borderId="0" xfId="0">
      <alignment wrapText="1"/>
    </xf>
    <xf numFmtId="0" fontId="9" fillId="0" borderId="4" xfId="0">
      <alignment horizontal="left" vertical="center" wrapText="1"/>
    </xf>
    <xf numFmtId="14" fontId="2" fillId="3" borderId="4" xfId="0">
      <alignment horizontal="left" vertical="center" wrapText="1"/>
    </xf>
    <xf numFmtId="0" fontId="9" fillId="0" borderId="5" xfId="0">
      <alignment horizontal="left" vertical="center" wrapText="1"/>
    </xf>
    <xf numFmtId="0" fontId="9" fillId="0" borderId="12" xfId="0">
      <alignment wrapText="1"/>
    </xf>
    <xf numFmtId="14" fontId="2" fillId="3" borderId="5" xfId="0">
      <alignment horizontal="left" vertical="center" wrapText="1"/>
    </xf>
    <xf numFmtId="0" fontId="2" fillId="3" borderId="7" xfId="0">
      <alignment horizontal="left" vertical="center" wrapText="1"/>
    </xf>
    <xf numFmtId="0" fontId="2" fillId="3" borderId="6" xfId="0">
      <alignment horizontal="left" vertical="center" wrapText="1"/>
    </xf>
    <xf numFmtId="0" fontId="9" fillId="0" borderId="0" xfId="0">
      <alignment wrapText="1"/>
    </xf>
    <xf numFmtId="14" fontId="9" fillId="0" borderId="4" xfId="0">
      <alignment vertical="center" wrapText="1"/>
    </xf>
    <xf numFmtId="0" fontId="2" fillId="3" borderId="4" xfId="0">
      <alignment horizontal="left" vertical="center" wrapText="1"/>
    </xf>
    <xf numFmtId="0" fontId="2" fillId="3" borderId="5" xfId="0">
      <alignment horizontal="left" vertical="center" wrapText="1"/>
    </xf>
    <xf numFmtId="0" fontId="9" fillId="0" borderId="0" xfId="0">
      <alignment horizontal="center"/>
    </xf>
    <xf numFmtId="0" fontId="12" fillId="4" borderId="9" xfId="0">
      <alignment horizontal="center"/>
    </xf>
    <xf numFmtId="0" fontId="12" fillId="4" borderId="8" xfId="0">
      <alignment horizontal="center"/>
    </xf>
    <xf numFmtId="0" fontId="8" fillId="0" borderId="0" xfId="0">
      <alignment horizontal="left"/>
    </xf>
    <xf numFmtId="0" fontId="7" fillId="0" borderId="0" xfId="0">
      <alignment horizontal="left"/>
    </xf>
    <xf numFmtId="0" fontId="3" fillId="0" borderId="14" xfId="2">
      <alignment horizontal="right" vertical="center"/>
    </xf>
    <xf numFmtId="0" fontId="4" fillId="0" borderId="0" xfId="3">
      <alignment vertical="center"/>
    </xf>
    <xf numFmtId="0" fontId="2" fillId="0" borderId="0" xfId="0">
      <alignment vertical="center"/>
    </xf>
    <xf numFmtId="0" fontId="2" fillId="3" borderId="3" xfId="0">
      <alignment vertical="center"/>
    </xf>
    <xf numFmtId="0" fontId="6" fillId="3" borderId="3" xfId="0">
      <alignment horizontal="right" vertical="center"/>
    </xf>
  </cellXfs>
  <cellStyles count="5">
    <cellStyle name="Global" xfId="1"/>
    <cellStyle name="Header" xfId="3"/>
    <cellStyle name="HyperLink" xfId="2"/>
    <cellStyle name="Normal" xfId="0" builtinId="0"/>
    <cellStyle name="TableHeader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theme" Target="theme/theme1.xml" Id="rId7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9" /><Relationship Type="http://schemas.openxmlformats.org/officeDocument/2006/relationships/worksheet" Target="worksheets/sheet16.xml" Id="R7baf3755ba2d4855" /><Relationship Type="http://schemas.openxmlformats.org/officeDocument/2006/relationships/worksheet" Target="worksheets/sheet17.xml" Id="R1d35f287e1cd46d5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0"/>
  <sheetViews>
    <sheetView tabSelected="1" topLeftCell="A4" zoomScaleNormal="100" workbookViewId="0"/>
  </sheetViews>
  <sheetFormatPr baseColWidth="10" defaultRowHeight="15" x14ac:dyDescent="0.25"/>
  <cols>
    <col min="1" max="1" width="31.5703125" customWidth="1"/>
    <col min="7" max="7" width="11.42578125" customWidth="1"/>
  </cols>
  <sheetData>
    <row r="1">
      <c r="A1" s="1" t="s">
        <v>104</v>
      </c>
    </row>
    <row r="2">
      <c r="A2" s="0" t="s">
        <v>105</v>
      </c>
    </row>
    <row r="3">
      <c r="A3" s="1" t="s">
        <v>106</v>
      </c>
      <c r="B3" s="1" t="s">
        <v>107</v>
      </c>
      <c r="C3" s="1" t="s">
        <v>108</v>
      </c>
    </row>
    <row r="4">
      <c r="A4" s="0" t="s">
        <v>109</v>
      </c>
      <c r="B4" s="0" t="s">
        <v>110</v>
      </c>
      <c r="C4" s="0" t="s">
        <v>111</v>
      </c>
    </row>
    <row r="7">
      <c r="A7" s="33"/>
      <c r="B7" s="33"/>
      <c r="C7" s="33"/>
      <c r="D7" s="33"/>
      <c r="E7" s="33"/>
      <c r="F7" s="33"/>
      <c r="G7" s="33"/>
      <c r="H7" s="33"/>
      <c r="I7" s="33"/>
    </row>
    <row r="8">
      <c r="A8" s="33"/>
      <c r="B8" s="33"/>
      <c r="C8" s="33"/>
      <c r="D8" s="33"/>
      <c r="E8" s="33"/>
      <c r="F8" s="33"/>
      <c r="G8" s="33"/>
      <c r="H8" s="33"/>
      <c r="I8" s="33"/>
    </row>
    <row r="9">
      <c r="A9" s="7"/>
      <c r="B9" s="7"/>
      <c r="C9" s="7"/>
      <c r="D9" s="7"/>
      <c r="E9" s="7"/>
      <c r="F9" s="7"/>
      <c r="G9" s="7"/>
      <c r="H9" s="7"/>
      <c r="I9" s="7"/>
      <c r="J9" s="8"/>
    </row>
    <row r="10">
      <c r="A10" s="52"/>
      <c r="B10" s="52"/>
      <c r="C10" s="54"/>
      <c r="D10" s="53"/>
      <c r="E10" s="7"/>
      <c r="F10" s="7"/>
      <c r="G10" s="7"/>
      <c r="H10" s="7"/>
      <c r="I10" s="7"/>
      <c r="J10" s="8"/>
    </row>
    <row r="11">
      <c r="A11" s="68" t="s">
        <v>112</v>
      </c>
      <c r="B11" s="68"/>
      <c r="C11" s="68"/>
      <c r="D11" s="68"/>
      <c r="E11" s="7"/>
      <c r="F11" s="35"/>
      <c r="G11" s="7"/>
      <c r="H11" s="7"/>
      <c r="I11" s="7"/>
      <c r="J11" s="8"/>
    </row>
    <row r="12">
      <c r="A12" s="27"/>
      <c r="B12" s="30"/>
      <c r="C12" s="31"/>
      <c r="D12" s="30"/>
      <c r="E12" s="7"/>
      <c r="F12" s="7"/>
      <c r="G12" s="7"/>
      <c r="H12" s="7"/>
      <c r="I12" s="7"/>
      <c r="J12" s="8"/>
    </row>
    <row r="13">
      <c r="A13" s="29"/>
      <c r="B13" s="29"/>
      <c r="C13" s="32"/>
      <c r="D13" s="29"/>
      <c r="E13" s="7"/>
      <c r="F13" s="7"/>
      <c r="G13" s="7"/>
      <c r="H13" s="7"/>
      <c r="I13" s="7"/>
      <c r="J13" s="8"/>
    </row>
    <row r="14">
      <c r="A14" s="7"/>
      <c r="B14" s="34"/>
      <c r="C14" s="34"/>
      <c r="D14" s="47"/>
      <c r="E14" s="7"/>
      <c r="F14" s="7"/>
      <c r="G14" s="7"/>
      <c r="H14" s="7"/>
      <c r="I14" s="7"/>
      <c r="J14" s="8"/>
    </row>
    <row r="15">
      <c r="A15" s="28"/>
      <c r="B15" s="29"/>
      <c r="C15" s="32"/>
      <c r="D15" s="29"/>
      <c r="E15" s="7"/>
      <c r="F15" s="7"/>
      <c r="G15" s="7"/>
      <c r="H15" s="7"/>
      <c r="I15" s="7"/>
      <c r="J15" s="8"/>
    </row>
    <row r="16">
      <c r="A16" s="68" t="s">
        <v>113</v>
      </c>
      <c r="B16" s="68"/>
      <c r="C16" s="68"/>
      <c r="D16" s="68"/>
      <c r="E16" s="7"/>
      <c r="F16" s="7"/>
      <c r="G16" s="7"/>
      <c r="H16" s="7"/>
      <c r="I16" s="7"/>
      <c r="J16" s="8"/>
    </row>
    <row r="17">
      <c r="A17" s="13"/>
      <c r="B17" s="57"/>
      <c r="C17" s="18"/>
      <c r="D17" s="39"/>
      <c r="E17" s="7"/>
      <c r="F17" s="7"/>
      <c r="G17" s="7"/>
      <c r="H17" s="7"/>
      <c r="I17" s="7"/>
      <c r="J17" s="8"/>
    </row>
    <row r="18">
      <c r="A18" s="11"/>
      <c r="B18" s="62"/>
      <c r="C18" s="21"/>
      <c r="D18" s="40"/>
      <c r="E18" s="7"/>
      <c r="F18" s="7"/>
      <c r="G18" s="7"/>
      <c r="H18" s="7"/>
      <c r="I18" s="7"/>
      <c r="J18" s="8"/>
    </row>
    <row r="19">
      <c r="A19" s="14"/>
      <c r="B19" s="59"/>
      <c r="C19" s="20"/>
      <c r="D19" s="41"/>
      <c r="E19" s="7"/>
      <c r="F19" s="7"/>
      <c r="G19" s="7"/>
      <c r="H19" s="7"/>
      <c r="I19" s="7"/>
      <c r="J19" s="8"/>
    </row>
    <row r="20">
      <c r="A20" s="7"/>
      <c r="B20" s="60"/>
      <c r="C20" s="34"/>
      <c r="D20" s="42"/>
      <c r="E20" s="7"/>
      <c r="F20" s="7"/>
      <c r="G20" s="7"/>
      <c r="H20" s="7"/>
      <c r="I20" s="7"/>
      <c r="J20" s="8"/>
    </row>
    <row r="21">
      <c r="A21" s="23"/>
      <c r="B21" s="63"/>
      <c r="C21" s="24"/>
      <c r="D21" s="43"/>
      <c r="E21" s="7"/>
      <c r="F21" s="7"/>
      <c r="G21" s="7"/>
      <c r="H21" s="7"/>
      <c r="I21" s="7"/>
      <c r="J21" s="8"/>
    </row>
    <row r="22">
      <c r="A22" s="69"/>
      <c r="B22" s="69"/>
      <c r="C22" s="69"/>
      <c r="D22" s="70"/>
      <c r="E22" s="7"/>
      <c r="F22" s="7"/>
      <c r="G22" s="7"/>
      <c r="H22" s="7"/>
      <c r="I22" s="7"/>
      <c r="J22" s="8"/>
    </row>
    <row r="23">
      <c r="A23" s="68" t="s">
        <v>114</v>
      </c>
      <c r="B23" s="68"/>
      <c r="C23" s="68"/>
      <c r="D23" s="68"/>
      <c r="E23" s="7"/>
      <c r="F23" s="7"/>
      <c r="G23" s="7"/>
      <c r="H23" s="7"/>
      <c r="I23" s="7"/>
      <c r="J23" s="8"/>
    </row>
    <row r="24">
      <c r="A24" s="13"/>
      <c r="B24" s="16"/>
      <c r="C24" s="57"/>
      <c r="D24" s="18"/>
      <c r="E24" s="18"/>
      <c r="F24" s="18"/>
      <c r="G24" s="44"/>
      <c r="H24" s="7"/>
      <c r="I24" s="7"/>
      <c r="J24" s="8"/>
    </row>
    <row r="25">
      <c r="A25" s="11"/>
      <c r="B25" s="15"/>
      <c r="C25" s="66"/>
      <c r="D25" s="19"/>
      <c r="E25" s="19"/>
      <c r="F25" s="19"/>
      <c r="G25" s="45"/>
      <c r="H25" s="7"/>
      <c r="I25" s="7"/>
      <c r="J25" s="8"/>
    </row>
    <row r="26">
      <c r="A26" s="14"/>
      <c r="B26" s="17"/>
      <c r="C26" s="59"/>
      <c r="D26" s="20"/>
      <c r="E26" s="20"/>
      <c r="F26" s="20"/>
      <c r="G26" s="46"/>
      <c r="H26" s="7"/>
      <c r="I26" s="7"/>
      <c r="J26" s="8"/>
    </row>
    <row r="27">
      <c r="A27" s="34"/>
      <c r="B27" s="34"/>
      <c r="C27" s="60"/>
      <c r="D27" s="34"/>
      <c r="E27" s="34"/>
      <c r="F27" s="34"/>
      <c r="G27" s="47"/>
      <c r="H27" s="7"/>
      <c r="I27" s="7"/>
      <c r="J27" s="8"/>
    </row>
    <row r="28">
      <c r="A28" s="23"/>
      <c r="B28" s="25"/>
      <c r="C28" s="67"/>
      <c r="D28" s="26"/>
      <c r="E28" s="26"/>
      <c r="F28" s="26"/>
      <c r="G28" s="48"/>
      <c r="H28" s="7"/>
      <c r="I28" s="7"/>
      <c r="J28" s="8"/>
    </row>
    <row r="29">
      <c r="A29" s="13"/>
      <c r="B29" s="16"/>
      <c r="C29" s="57"/>
      <c r="D29" s="18"/>
      <c r="E29" s="18"/>
      <c r="F29" s="18"/>
      <c r="G29" s="49"/>
      <c r="H29" s="7"/>
      <c r="I29" s="7"/>
      <c r="J29" s="8"/>
    </row>
    <row r="30">
      <c r="A30" s="7"/>
      <c r="B30" s="7"/>
      <c r="C30" s="7"/>
      <c r="D30" s="7"/>
      <c r="E30" s="7"/>
      <c r="F30" s="7"/>
      <c r="G30" s="7"/>
      <c r="H30" s="7"/>
      <c r="I30" s="7"/>
      <c r="J30" s="8"/>
    </row>
    <row r="31" ht="15.75" customHeight="1">
      <c r="A31" s="68" t="s">
        <v>115</v>
      </c>
      <c r="B31" s="68"/>
      <c r="C31" s="68"/>
      <c r="D31" s="68"/>
      <c r="E31" s="7"/>
      <c r="F31" s="7"/>
      <c r="G31" s="7"/>
      <c r="H31" s="7"/>
      <c r="I31" s="7"/>
      <c r="J31" s="8"/>
    </row>
    <row r="32">
      <c r="A32" s="13"/>
      <c r="B32" s="57"/>
      <c r="C32" s="18"/>
      <c r="D32" s="18"/>
      <c r="E32" s="18"/>
      <c r="F32" s="44"/>
      <c r="G32" s="7"/>
      <c r="H32" s="7"/>
      <c r="I32" s="7"/>
      <c r="J32" s="8"/>
    </row>
    <row r="33">
      <c r="A33" s="11"/>
      <c r="B33" s="58"/>
      <c r="C33" s="19"/>
      <c r="D33" s="19"/>
      <c r="E33" s="19"/>
      <c r="F33" s="45"/>
      <c r="G33" s="7"/>
      <c r="H33" s="7"/>
      <c r="I33" s="7"/>
      <c r="J33" s="8"/>
    </row>
    <row r="34">
      <c r="A34" s="14"/>
      <c r="B34" s="59"/>
      <c r="C34" s="20"/>
      <c r="D34" s="20"/>
      <c r="E34" s="20"/>
      <c r="F34" s="46"/>
      <c r="G34" s="7"/>
      <c r="H34" s="7"/>
      <c r="I34" s="7"/>
      <c r="J34" s="8"/>
    </row>
    <row r="35">
      <c r="A35" s="7"/>
      <c r="B35" s="64"/>
      <c r="C35" s="34"/>
      <c r="D35" s="34"/>
      <c r="E35" s="7"/>
      <c r="F35" s="50"/>
      <c r="G35" s="7"/>
      <c r="H35" s="7"/>
      <c r="I35" s="7"/>
      <c r="J35" s="8"/>
    </row>
    <row r="36">
      <c r="A36" s="23"/>
      <c r="B36" s="61"/>
      <c r="C36" s="26"/>
      <c r="D36" s="26"/>
      <c r="E36" s="26"/>
      <c r="F36" s="48"/>
      <c r="G36" s="7"/>
      <c r="H36" s="7"/>
      <c r="I36" s="7"/>
      <c r="J36" s="8"/>
    </row>
    <row r="37">
      <c r="A37" s="13"/>
      <c r="B37" s="65"/>
      <c r="C37" s="12"/>
      <c r="D37" s="18"/>
      <c r="E37" s="18"/>
      <c r="F37" s="51"/>
      <c r="G37" s="36"/>
      <c r="H37" s="35"/>
      <c r="I37" s="7"/>
      <c r="J37" s="8"/>
    </row>
    <row r="38">
      <c r="A38" s="7"/>
      <c r="B38" s="7"/>
      <c r="C38" s="7"/>
      <c r="D38" s="7"/>
      <c r="E38" s="7"/>
      <c r="F38" s="7"/>
      <c r="G38" s="7"/>
      <c r="H38" s="7"/>
      <c r="I38" s="7"/>
      <c r="J38" s="8"/>
    </row>
    <row r="39">
      <c r="A39" s="7"/>
      <c r="B39" s="7"/>
      <c r="C39" s="7"/>
      <c r="D39" s="7"/>
      <c r="E39" s="7"/>
      <c r="F39" s="7"/>
      <c r="G39" s="7"/>
      <c r="H39" s="7"/>
      <c r="I39" s="7"/>
      <c r="J39" s="8"/>
    </row>
    <row r="40">
      <c r="A40" s="33"/>
      <c r="B40" s="33"/>
      <c r="C40" s="33"/>
      <c r="D40" s="33"/>
      <c r="E40" s="33"/>
      <c r="F40" s="33"/>
      <c r="G40" s="33"/>
      <c r="H40" s="33"/>
      <c r="I40" s="33"/>
    </row>
  </sheetData>
  <mergeCells>
    <mergeCell ref="A11:D11"/>
    <mergeCell ref="A31:D31"/>
    <mergeCell ref="A16:D16"/>
    <mergeCell ref="A23:D23"/>
    <mergeCell ref="A22:D2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sqref="A1:D1"/>
    </sheetView>
  </sheetViews>
  <sheetFormatPr baseColWidth="10" defaultColWidth="9.28515625" defaultRowHeight="15" x14ac:dyDescent="0.25"/>
  <cols>
    <col min="1" max="1" width="27.5703125" customWidth="1"/>
    <col min="2" max="2" width="23" customWidth="1"/>
    <col min="3" max="3" width="7.7109375" customWidth="1"/>
  </cols>
  <sheetData>
    <row r="1">
      <c r="A1" s="1" t="s">
        <v>104</v>
      </c>
    </row>
    <row r="2">
      <c r="A2" s="0" t="s">
        <v>116</v>
      </c>
    </row>
    <row r="3">
      <c r="A3" s="1" t="s">
        <v>106</v>
      </c>
      <c r="B3" s="1" t="s">
        <v>107</v>
      </c>
      <c r="C3" s="1" t="s">
        <v>108</v>
      </c>
    </row>
    <row r="4">
      <c r="A4" s="0" t="s">
        <v>117</v>
      </c>
      <c r="B4" s="0" t="s">
        <v>118</v>
      </c>
      <c r="C4" s="0" t="s">
        <v>111</v>
      </c>
    </row>
    <row r="5">
      <c r="A5" s="0" t="s">
        <v>119</v>
      </c>
      <c r="B5" s="0" t="s">
        <v>120</v>
      </c>
      <c r="C5" s="0" t="s">
        <v>111</v>
      </c>
    </row>
    <row r="6">
      <c r="A6" s="0" t="s">
        <v>121</v>
      </c>
      <c r="B6" s="0" t="s">
        <v>122</v>
      </c>
      <c r="C6" s="0" t="s">
        <v>123</v>
      </c>
    </row>
    <row r="7">
      <c r="A7" s="0" t="s">
        <v>124</v>
      </c>
      <c r="B7" s="0" t="s">
        <v>125</v>
      </c>
      <c r="C7" s="0" t="s">
        <v>123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E121"/>
  <sheetViews>
    <sheetView workbookViewId="0">
      <selection sqref="A1:D1"/>
    </sheetView>
  </sheetViews>
  <sheetFormatPr baseColWidth="10" defaultRowHeight="15" x14ac:dyDescent="0.25"/>
  <cols>
    <col min="1" max="1" width="82.7109375" customWidth="1"/>
    <col min="2" max="2" width="30.7109375" customWidth="1"/>
    <col min="3" max="3" width="18.7109375" customWidth="1"/>
    <col min="4" max="4" width="5.7109375" customWidth="1"/>
  </cols>
  <sheetData>
    <row r="1">
      <c r="A1" s="71" t="s">
        <v>0</v>
      </c>
      <c r="B1" s="72"/>
      <c r="C1" s="72"/>
      <c r="D1" s="72"/>
    </row>
    <row r="3">
      <c r="A3" s="6" t="s">
        <v>1</v>
      </c>
      <c r="B3" s="6" t="s">
        <v>2</v>
      </c>
      <c r="C3" s="6" t="s">
        <v>3</v>
      </c>
      <c r="D3" s="6" t="s">
        <v>4</v>
      </c>
    </row>
    <row r="4">
      <c r="A4" s="28" t="s">
        <v>5</v>
      </c>
      <c r="B4" s="29" t="s">
        <v>6</v>
      </c>
      <c r="C4" s="32">
        <v>1046.82</v>
      </c>
      <c r="D4" s="29" t="s">
        <v>7</v>
      </c>
      <c r="E4" s="9"/>
    </row>
    <row r="5">
      <c r="A5" s="10"/>
      <c r="B5" s="7"/>
      <c r="C5" s="7"/>
      <c r="D5" s="7"/>
    </row>
    <row r="6">
      <c r="A6" s="10"/>
      <c r="B6" s="7"/>
      <c r="C6" s="7"/>
      <c r="D6" s="7"/>
    </row>
    <row r="7">
      <c r="A7" s="10"/>
      <c r="B7" s="7"/>
      <c r="C7" s="7"/>
      <c r="D7" s="7"/>
    </row>
    <row r="8">
      <c r="A8" s="10"/>
      <c r="B8" s="7"/>
      <c r="C8" s="7"/>
      <c r="D8" s="7"/>
    </row>
    <row r="9">
      <c r="A9" s="10"/>
      <c r="B9" s="7"/>
      <c r="C9" s="7"/>
      <c r="D9" s="7"/>
    </row>
    <row r="10">
      <c r="A10" s="10"/>
      <c r="B10" s="7"/>
      <c r="C10" s="7"/>
      <c r="D10" s="7"/>
    </row>
    <row r="11">
      <c r="A11" s="10"/>
      <c r="B11" s="7"/>
      <c r="C11" s="7"/>
      <c r="D11" s="7"/>
    </row>
    <row r="12">
      <c r="A12" s="10"/>
      <c r="B12" s="7"/>
      <c r="C12" s="7"/>
      <c r="D12" s="7"/>
    </row>
    <row r="13">
      <c r="A13" s="10"/>
      <c r="B13" s="7"/>
      <c r="C13" s="7"/>
      <c r="D13" s="7"/>
    </row>
    <row r="14">
      <c r="A14" s="10"/>
      <c r="B14" s="7"/>
      <c r="C14" s="7"/>
      <c r="D14" s="7"/>
    </row>
    <row r="15">
      <c r="A15" s="10"/>
      <c r="B15" s="7"/>
      <c r="C15" s="7"/>
      <c r="D15" s="7"/>
    </row>
    <row r="16">
      <c r="A16" s="10"/>
      <c r="B16" s="7"/>
      <c r="C16" s="7"/>
      <c r="D16" s="7"/>
    </row>
    <row r="17">
      <c r="A17" s="10"/>
      <c r="B17" s="7"/>
      <c r="C17" s="7"/>
      <c r="D17" s="7"/>
    </row>
    <row r="18">
      <c r="A18" s="10"/>
      <c r="B18" s="7"/>
      <c r="C18" s="7"/>
      <c r="D18" s="7"/>
    </row>
    <row r="19">
      <c r="A19" s="10"/>
      <c r="B19" s="7"/>
      <c r="C19" s="7"/>
      <c r="D19" s="7"/>
    </row>
    <row r="20">
      <c r="A20" s="10"/>
      <c r="B20" s="7"/>
      <c r="C20" s="7"/>
      <c r="D20" s="7"/>
    </row>
    <row r="21">
      <c r="A21" s="10"/>
      <c r="B21" s="7"/>
      <c r="C21" s="7"/>
      <c r="D21" s="7"/>
    </row>
    <row r="22">
      <c r="A22" s="10"/>
      <c r="B22" s="7"/>
      <c r="C22" s="7"/>
      <c r="D22" s="7"/>
    </row>
    <row r="23">
      <c r="A23" s="10"/>
      <c r="B23" s="7"/>
      <c r="C23" s="7"/>
      <c r="D23" s="7"/>
    </row>
    <row r="24">
      <c r="A24" s="10"/>
      <c r="B24" s="7"/>
      <c r="C24" s="7"/>
      <c r="D24" s="7"/>
    </row>
    <row r="25">
      <c r="A25" s="10"/>
      <c r="B25" s="7"/>
      <c r="C25" s="7"/>
      <c r="D25" s="7"/>
    </row>
    <row r="26">
      <c r="A26" s="10"/>
      <c r="B26" s="7"/>
      <c r="C26" s="7"/>
      <c r="D26" s="7"/>
    </row>
    <row r="27">
      <c r="A27" s="10"/>
      <c r="B27" s="7"/>
      <c r="C27" s="7"/>
      <c r="D27" s="7"/>
    </row>
    <row r="28">
      <c r="A28" s="10"/>
      <c r="B28" s="7"/>
      <c r="C28" s="7"/>
      <c r="D28" s="7"/>
    </row>
    <row r="29">
      <c r="A29" s="10"/>
      <c r="B29" s="7"/>
      <c r="C29" s="7"/>
      <c r="D29" s="7"/>
    </row>
    <row r="30">
      <c r="A30" s="10"/>
      <c r="B30" s="7"/>
      <c r="C30" s="7"/>
      <c r="D30" s="7"/>
    </row>
    <row r="31">
      <c r="A31" s="10"/>
      <c r="B31" s="7"/>
      <c r="C31" s="7"/>
      <c r="D31" s="7"/>
    </row>
    <row r="32">
      <c r="A32" s="10"/>
      <c r="B32" s="7"/>
      <c r="C32" s="7"/>
      <c r="D32" s="7"/>
    </row>
    <row r="33">
      <c r="A33" s="10"/>
      <c r="B33" s="7"/>
      <c r="C33" s="7"/>
      <c r="D33" s="7"/>
    </row>
    <row r="34">
      <c r="A34" s="10"/>
      <c r="B34" s="7"/>
      <c r="C34" s="7"/>
      <c r="D34" s="7"/>
    </row>
    <row r="35">
      <c r="A35" s="10"/>
      <c r="B35" s="7"/>
      <c r="C35" s="7"/>
      <c r="D35" s="7"/>
    </row>
    <row r="36">
      <c r="A36" s="10"/>
      <c r="B36" s="7"/>
      <c r="C36" s="7"/>
      <c r="D36" s="7"/>
    </row>
    <row r="37">
      <c r="A37" s="10"/>
      <c r="B37" s="7"/>
      <c r="C37" s="7"/>
      <c r="D37" s="7"/>
    </row>
    <row r="38">
      <c r="A38" s="10"/>
      <c r="B38" s="7"/>
      <c r="C38" s="7"/>
      <c r="D38" s="7"/>
    </row>
    <row r="39">
      <c r="A39" s="10"/>
      <c r="B39" s="7"/>
      <c r="C39" s="7"/>
      <c r="D39" s="7"/>
    </row>
    <row r="40">
      <c r="A40" s="10"/>
      <c r="B40" s="7"/>
      <c r="C40" s="7"/>
      <c r="D40" s="7"/>
    </row>
    <row r="41">
      <c r="A41" s="10"/>
      <c r="B41" s="7"/>
      <c r="C41" s="7"/>
      <c r="D41" s="7"/>
    </row>
    <row r="42">
      <c r="A42" s="10"/>
      <c r="B42" s="7"/>
      <c r="C42" s="7"/>
      <c r="D42" s="7"/>
    </row>
    <row r="43">
      <c r="A43" s="10"/>
      <c r="B43" s="7"/>
      <c r="C43" s="7"/>
      <c r="D43" s="7"/>
    </row>
    <row r="44">
      <c r="A44" s="10"/>
      <c r="B44" s="7"/>
      <c r="C44" s="7"/>
      <c r="D44" s="7"/>
    </row>
    <row r="45">
      <c r="A45" s="10"/>
      <c r="B45" s="7"/>
      <c r="C45" s="7"/>
      <c r="D45" s="7"/>
    </row>
    <row r="46">
      <c r="A46" s="10"/>
      <c r="B46" s="7"/>
      <c r="C46" s="7"/>
      <c r="D46" s="7"/>
    </row>
    <row r="47">
      <c r="A47" s="10"/>
      <c r="B47" s="7"/>
      <c r="C47" s="7"/>
      <c r="D47" s="7"/>
    </row>
    <row r="48">
      <c r="A48" s="10"/>
      <c r="B48" s="7"/>
      <c r="C48" s="7"/>
      <c r="D48" s="7"/>
    </row>
    <row r="49">
      <c r="A49" s="10"/>
      <c r="B49" s="7"/>
      <c r="C49" s="7"/>
      <c r="D49" s="7"/>
    </row>
    <row r="50">
      <c r="A50" s="10"/>
      <c r="B50" s="7"/>
      <c r="C50" s="7"/>
      <c r="D50" s="7"/>
    </row>
    <row r="51">
      <c r="A51" s="10"/>
      <c r="B51" s="7"/>
      <c r="C51" s="7"/>
      <c r="D51" s="7"/>
    </row>
    <row r="52">
      <c r="A52" s="10"/>
      <c r="B52" s="7"/>
      <c r="C52" s="7"/>
      <c r="D52" s="7"/>
    </row>
    <row r="53">
      <c r="A53" s="10"/>
      <c r="B53" s="7"/>
      <c r="C53" s="7"/>
      <c r="D53" s="7"/>
    </row>
    <row r="54">
      <c r="A54" s="10"/>
      <c r="B54" s="7"/>
      <c r="C54" s="7"/>
      <c r="D54" s="7"/>
    </row>
    <row r="55">
      <c r="A55" s="10"/>
      <c r="B55" s="7"/>
      <c r="C55" s="7"/>
      <c r="D55" s="7"/>
    </row>
    <row r="56">
      <c r="A56" s="10"/>
      <c r="B56" s="7"/>
      <c r="C56" s="7"/>
      <c r="D56" s="7"/>
    </row>
    <row r="57">
      <c r="A57" s="10"/>
      <c r="B57" s="7"/>
      <c r="C57" s="7"/>
      <c r="D57" s="7"/>
    </row>
    <row r="58">
      <c r="A58" s="10"/>
      <c r="B58" s="7"/>
      <c r="C58" s="7"/>
      <c r="D58" s="7"/>
    </row>
    <row r="59">
      <c r="A59" s="10"/>
      <c r="B59" s="7"/>
      <c r="C59" s="7"/>
      <c r="D59" s="7"/>
    </row>
    <row r="60">
      <c r="A60" s="10"/>
      <c r="B60" s="7"/>
      <c r="C60" s="7"/>
      <c r="D60" s="7"/>
    </row>
    <row r="61">
      <c r="A61" s="10"/>
      <c r="B61" s="7"/>
      <c r="C61" s="7"/>
      <c r="D61" s="7"/>
    </row>
    <row r="62">
      <c r="A62" s="10"/>
      <c r="B62" s="7"/>
      <c r="C62" s="7"/>
      <c r="D62" s="7"/>
    </row>
    <row r="63">
      <c r="A63" s="10"/>
      <c r="B63" s="7"/>
      <c r="C63" s="7"/>
      <c r="D63" s="7"/>
    </row>
    <row r="64">
      <c r="A64" s="10"/>
      <c r="B64" s="8"/>
      <c r="C64" s="8"/>
      <c r="D64" s="8"/>
    </row>
    <row r="65">
      <c r="A65" s="10"/>
      <c r="B65" s="8"/>
      <c r="C65" s="8"/>
      <c r="D65" s="8"/>
    </row>
    <row r="66">
      <c r="A66" s="10"/>
      <c r="B66" s="8"/>
      <c r="C66" s="8"/>
      <c r="D66" s="8"/>
    </row>
    <row r="67">
      <c r="A67" s="10"/>
      <c r="B67" s="8"/>
      <c r="C67" s="8"/>
      <c r="D67" s="8"/>
    </row>
    <row r="68">
      <c r="A68" s="10"/>
      <c r="B68" s="8"/>
      <c r="C68" s="8"/>
      <c r="D68" s="8"/>
    </row>
    <row r="69">
      <c r="A69" s="10"/>
      <c r="B69" s="8"/>
      <c r="C69" s="8"/>
      <c r="D69" s="8"/>
    </row>
    <row r="70">
      <c r="A70" s="10"/>
      <c r="B70" s="8"/>
      <c r="C70" s="8"/>
      <c r="D70" s="8"/>
    </row>
    <row r="71">
      <c r="A71" s="10"/>
      <c r="B71" s="8"/>
      <c r="C71" s="8"/>
      <c r="D71" s="8"/>
    </row>
    <row r="72">
      <c r="A72" s="10"/>
      <c r="B72" s="8"/>
      <c r="C72" s="8"/>
      <c r="D72" s="8"/>
    </row>
    <row r="73">
      <c r="A73" s="10"/>
      <c r="B73" s="8"/>
      <c r="C73" s="8"/>
      <c r="D73" s="8"/>
    </row>
    <row r="74">
      <c r="A74" s="10"/>
      <c r="B74" s="8"/>
      <c r="C74" s="8"/>
      <c r="D74" s="8"/>
    </row>
    <row r="75">
      <c r="A75" s="10"/>
      <c r="B75" s="8"/>
      <c r="C75" s="8"/>
      <c r="D75" s="8"/>
    </row>
    <row r="76">
      <c r="A76" s="10"/>
      <c r="B76" s="8"/>
      <c r="C76" s="8"/>
      <c r="D76" s="8"/>
    </row>
    <row r="77">
      <c r="A77" s="10"/>
      <c r="B77" s="8"/>
      <c r="C77" s="8"/>
      <c r="D77" s="8"/>
    </row>
    <row r="78">
      <c r="A78" s="10"/>
      <c r="B78" s="8"/>
      <c r="C78" s="8"/>
      <c r="D78" s="8"/>
    </row>
    <row r="79">
      <c r="A79" s="10"/>
      <c r="B79" s="8"/>
      <c r="C79" s="8"/>
      <c r="D79" s="8"/>
    </row>
    <row r="80">
      <c r="A80" s="10"/>
      <c r="B80" s="8"/>
      <c r="C80" s="8"/>
      <c r="D80" s="8"/>
    </row>
    <row r="81">
      <c r="A81" s="10"/>
      <c r="B81" s="8"/>
      <c r="C81" s="8"/>
      <c r="D81" s="8"/>
    </row>
    <row r="82">
      <c r="A82" s="10"/>
      <c r="B82" s="8"/>
      <c r="C82" s="8"/>
      <c r="D82" s="8"/>
    </row>
    <row r="83">
      <c r="A83" s="10"/>
      <c r="B83" s="8"/>
      <c r="C83" s="8"/>
      <c r="D83" s="8"/>
    </row>
    <row r="84">
      <c r="A84" s="10"/>
      <c r="B84" s="8"/>
      <c r="C84" s="8"/>
      <c r="D84" s="8"/>
    </row>
    <row r="85">
      <c r="A85" s="10"/>
      <c r="B85" s="8"/>
      <c r="C85" s="8"/>
      <c r="D85" s="8"/>
    </row>
    <row r="86">
      <c r="A86" s="10"/>
      <c r="B86" s="8"/>
      <c r="C86" s="8"/>
      <c r="D86" s="8"/>
    </row>
    <row r="87">
      <c r="A87" s="10"/>
      <c r="B87" s="8"/>
      <c r="C87" s="8"/>
      <c r="D87" s="8"/>
    </row>
    <row r="88">
      <c r="A88" s="10"/>
      <c r="B88" s="8"/>
      <c r="C88" s="8"/>
      <c r="D88" s="8"/>
    </row>
    <row r="89">
      <c r="A89" s="10"/>
      <c r="B89" s="8"/>
      <c r="C89" s="8"/>
      <c r="D89" s="8"/>
    </row>
    <row r="90">
      <c r="A90" s="10"/>
      <c r="B90" s="8"/>
      <c r="C90" s="8"/>
      <c r="D90" s="8"/>
    </row>
    <row r="91">
      <c r="A91" s="10"/>
      <c r="B91" s="8"/>
      <c r="C91" s="8"/>
      <c r="D91" s="8"/>
    </row>
    <row r="92">
      <c r="A92" s="10"/>
      <c r="B92" s="8"/>
      <c r="C92" s="8"/>
      <c r="D92" s="8"/>
    </row>
    <row r="93">
      <c r="A93" s="10"/>
      <c r="B93" s="8"/>
      <c r="C93" s="8"/>
      <c r="D93" s="8"/>
    </row>
    <row r="94">
      <c r="A94" s="10"/>
      <c r="B94" s="8"/>
      <c r="C94" s="8"/>
      <c r="D94" s="8"/>
    </row>
    <row r="95">
      <c r="A95" s="10"/>
      <c r="B95" s="8"/>
      <c r="C95" s="8"/>
      <c r="D95" s="8"/>
    </row>
    <row r="96">
      <c r="A96" s="10"/>
      <c r="B96" s="8"/>
      <c r="C96" s="8"/>
      <c r="D96" s="8"/>
    </row>
    <row r="97">
      <c r="A97" s="10"/>
      <c r="B97" s="8"/>
      <c r="C97" s="8"/>
      <c r="D97" s="8"/>
    </row>
    <row r="98">
      <c r="A98" s="10"/>
      <c r="B98" s="8"/>
      <c r="C98" s="8"/>
      <c r="D98" s="8"/>
    </row>
    <row r="99">
      <c r="A99" s="10"/>
      <c r="B99" s="8"/>
      <c r="C99" s="8"/>
      <c r="D99" s="8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</sheetData>
  <mergeCells>
    <mergeCell ref="A1:D1"/>
  </mergeCells>
  <hyperlinks>
    <hyperlink ref="A4" location="'Cpt 02901 00020166901'!A1" display=""/>
  </hyperlinks>
  <printOptions horizontalCentered="1"/>
  <pageMargins left="0.7" right="0.7" top="0.75" bottom="0.75" header="0.3" footer="0.3"/>
  <pageSetup paperSize="9" orientation="portrait" fitToWidth="1" fitToHeight="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G96"/>
  <sheetViews>
    <sheetView workbookViewId="0">
      <selection sqref="A1:F1"/>
    </sheetView>
  </sheetViews>
  <sheetFormatPr baseColWidth="10" defaultColWidth="9.28515625" defaultRowHeight="15" x14ac:dyDescent="0.25"/>
  <cols>
    <col min="1" max="2" width="13.7109375" customWidth="1" style="5"/>
    <col min="3" max="3" width="61.7109375" customWidth="1" style="56"/>
    <col min="4" max="6" width="16" customWidth="1" style="3"/>
    <col min="7" max="7" width="5.7109375" customWidth="1" style="37"/>
  </cols>
  <sheetData>
    <row r="1">
      <c r="A1" s="74" t="s">
        <v>8</v>
      </c>
      <c r="B1" s="74" t="s">
        <v>8</v>
      </c>
      <c r="C1" s="74" t="s">
        <v>8</v>
      </c>
      <c r="D1" s="74" t="s">
        <v>8</v>
      </c>
      <c r="E1" s="74" t="s">
        <v>8</v>
      </c>
      <c r="F1" s="74" t="s">
        <v>8</v>
      </c>
    </row>
    <row r="2">
      <c r="A2" s="75" t="s">
        <v>9</v>
      </c>
      <c r="B2" s="75" t="s">
        <v>9</v>
      </c>
      <c r="C2" s="75" t="s">
        <v>9</v>
      </c>
      <c r="D2" s="75" t="s">
        <v>9</v>
      </c>
      <c r="E2" s="75" t="s">
        <v>9</v>
      </c>
      <c r="F2" s="75" t="s">
        <v>9</v>
      </c>
    </row>
    <row r="3">
      <c r="A3" s="76"/>
      <c r="B3" s="76"/>
      <c r="C3" s="76"/>
      <c r="D3" s="77" t="s">
        <v>10</v>
      </c>
      <c r="E3" s="77" t="s">
        <v>10</v>
      </c>
      <c r="F3" s="22">
        <f>=F95-SUM(D6:D93)-SUM(E6:E93)</f>
      </c>
      <c r="G3" s="38" t="s">
        <v>7</v>
      </c>
    </row>
    <row r="4">
      <c r="A4" s="73" t="s">
        <v>11</v>
      </c>
      <c r="B4" s="73" t="s">
        <v>11</v>
      </c>
      <c r="C4" s="73" t="s">
        <v>11</v>
      </c>
      <c r="D4" s="73" t="s">
        <v>11</v>
      </c>
      <c r="E4" s="73" t="s">
        <v>11</v>
      </c>
      <c r="F4" s="73" t="s">
        <v>11</v>
      </c>
      <c r="G4" s="73"/>
    </row>
    <row r="5">
      <c r="A5" s="4" t="s">
        <v>12</v>
      </c>
      <c r="B5" s="4" t="s">
        <v>13</v>
      </c>
      <c r="C5" s="55" t="s">
        <v>14</v>
      </c>
      <c r="D5" s="2" t="s">
        <v>15</v>
      </c>
      <c r="E5" s="2" t="s">
        <v>16</v>
      </c>
      <c r="F5" s="2" t="s">
        <v>3</v>
      </c>
      <c r="G5" s="6" t="s">
        <v>4</v>
      </c>
    </row>
    <row r="6">
      <c r="A6" s="13">
        <v>46182</v>
      </c>
      <c r="B6" s="16">
        <v>46182</v>
      </c>
      <c r="C6" s="57" t="s">
        <v>17</v>
      </c>
      <c r="D6" s="18"/>
      <c r="E6" s="18">
        <v>430</v>
      </c>
      <c r="F6" s="18">
        <f>=F3+D6+E6</f>
      </c>
      <c r="G6" s="44" t="s">
        <v>7</v>
      </c>
    </row>
    <row r="7">
      <c r="A7" s="11">
        <v>46182</v>
      </c>
      <c r="B7" s="15">
        <v>46182</v>
      </c>
      <c r="C7" s="66" t="s">
        <v>18</v>
      </c>
      <c r="D7" s="19"/>
      <c r="E7" s="19">
        <v>1000</v>
      </c>
      <c r="F7" s="19">
        <f>=IF(F6&lt;&gt;"NA",F6+D7+E7,"NA")</f>
      </c>
      <c r="G7" s="45" t="s">
        <v>7</v>
      </c>
    </row>
    <row r="8">
      <c r="A8" s="13">
        <v>46183</v>
      </c>
      <c r="B8" s="16">
        <v>46174</v>
      </c>
      <c r="C8" s="57" t="s">
        <v>19</v>
      </c>
      <c r="D8" s="18">
        <v>-17.39</v>
      </c>
      <c r="E8" s="18"/>
      <c r="F8" s="18">
        <f>=IF(F7&lt;&gt;"NA",F7+D8+E8,"NA")</f>
      </c>
      <c r="G8" s="44" t="s">
        <v>7</v>
      </c>
    </row>
    <row r="9">
      <c r="A9" s="11">
        <v>46183</v>
      </c>
      <c r="B9" s="15">
        <v>46184</v>
      </c>
      <c r="C9" s="66" t="s">
        <v>20</v>
      </c>
      <c r="D9" s="19"/>
      <c r="E9" s="19">
        <v>370</v>
      </c>
      <c r="F9" s="19">
        <f>=IF(F8&lt;&gt;"NA",F8+D9+E9,"NA")</f>
      </c>
      <c r="G9" s="45" t="s">
        <v>7</v>
      </c>
    </row>
    <row r="10">
      <c r="A10" s="13">
        <v>46183</v>
      </c>
      <c r="B10" s="16">
        <v>46183</v>
      </c>
      <c r="C10" s="57" t="s">
        <v>21</v>
      </c>
      <c r="D10" s="18">
        <v>-1652.46</v>
      </c>
      <c r="E10" s="18"/>
      <c r="F10" s="18">
        <f>=IF(F9&lt;&gt;"NA",F9+D10+E10,"NA")</f>
      </c>
      <c r="G10" s="44" t="s">
        <v>7</v>
      </c>
    </row>
    <row r="11">
      <c r="A11" s="11">
        <v>46183</v>
      </c>
      <c r="B11" s="15">
        <v>46183</v>
      </c>
      <c r="C11" s="66" t="s">
        <v>22</v>
      </c>
      <c r="D11" s="19"/>
      <c r="E11" s="19">
        <v>1000</v>
      </c>
      <c r="F11" s="19">
        <f>=IF(F10&lt;&gt;"NA",F10+D11+E11,"NA")</f>
      </c>
      <c r="G11" s="45" t="s">
        <v>7</v>
      </c>
    </row>
    <row r="12">
      <c r="A12" s="13">
        <v>46185</v>
      </c>
      <c r="B12" s="16">
        <v>46185</v>
      </c>
      <c r="C12" s="57" t="s">
        <v>23</v>
      </c>
      <c r="D12" s="18"/>
      <c r="E12" s="18">
        <v>220</v>
      </c>
      <c r="F12" s="18">
        <f>=IF(F11&lt;&gt;"NA",F11+D12+E12,"NA")</f>
      </c>
      <c r="G12" s="44" t="s">
        <v>7</v>
      </c>
    </row>
    <row r="13">
      <c r="A13" s="11">
        <v>46185</v>
      </c>
      <c r="B13" s="15">
        <v>46185</v>
      </c>
      <c r="C13" s="66" t="s">
        <v>24</v>
      </c>
      <c r="D13" s="19"/>
      <c r="E13" s="19">
        <v>220</v>
      </c>
      <c r="F13" s="19">
        <f>=IF(F12&lt;&gt;"NA",F12+D13+E13,"NA")</f>
      </c>
      <c r="G13" s="45" t="s">
        <v>7</v>
      </c>
    </row>
    <row r="14">
      <c r="A14" s="13">
        <v>46185</v>
      </c>
      <c r="B14" s="16">
        <v>46185</v>
      </c>
      <c r="C14" s="57" t="s">
        <v>25</v>
      </c>
      <c r="D14" s="18">
        <v>-1800</v>
      </c>
      <c r="E14" s="18"/>
      <c r="F14" s="18">
        <f>=IF(F13&lt;&gt;"NA",F13+D14+E14,"NA")</f>
      </c>
      <c r="G14" s="44" t="s">
        <v>7</v>
      </c>
    </row>
    <row r="15">
      <c r="A15" s="11">
        <v>46186</v>
      </c>
      <c r="B15" s="15">
        <v>46188</v>
      </c>
      <c r="C15" s="66" t="s">
        <v>26</v>
      </c>
      <c r="D15" s="19"/>
      <c r="E15" s="19">
        <v>50</v>
      </c>
      <c r="F15" s="19">
        <f>=IF(F14&lt;&gt;"NA",F14+D15+E15,"NA")</f>
      </c>
      <c r="G15" s="45" t="s">
        <v>7</v>
      </c>
    </row>
    <row r="16">
      <c r="A16" s="13">
        <v>46187</v>
      </c>
      <c r="B16" s="16">
        <v>46187</v>
      </c>
      <c r="C16" s="57" t="s">
        <v>27</v>
      </c>
      <c r="D16" s="18"/>
      <c r="E16" s="18">
        <v>430</v>
      </c>
      <c r="F16" s="18">
        <f>=IF(F15&lt;&gt;"NA",F15+D16+E16,"NA")</f>
      </c>
      <c r="G16" s="44" t="s">
        <v>7</v>
      </c>
    </row>
    <row r="17">
      <c r="A17" s="11">
        <v>46188</v>
      </c>
      <c r="B17" s="15">
        <v>46188</v>
      </c>
      <c r="C17" s="66" t="s">
        <v>28</v>
      </c>
      <c r="D17" s="19"/>
      <c r="E17" s="19">
        <v>589</v>
      </c>
      <c r="F17" s="19">
        <f>=IF(F16&lt;&gt;"NA",F16+D17+E17,"NA")</f>
      </c>
      <c r="G17" s="45" t="s">
        <v>7</v>
      </c>
    </row>
    <row r="18">
      <c r="A18" s="13">
        <v>46189</v>
      </c>
      <c r="B18" s="16">
        <v>46189</v>
      </c>
      <c r="C18" s="57" t="s">
        <v>29</v>
      </c>
      <c r="D18" s="18">
        <v>-1831</v>
      </c>
      <c r="E18" s="18"/>
      <c r="F18" s="18">
        <f>=IF(F17&lt;&gt;"NA",F17+D18+E18,"NA")</f>
      </c>
      <c r="G18" s="44" t="s">
        <v>7</v>
      </c>
    </row>
    <row r="19">
      <c r="A19" s="11">
        <v>46189</v>
      </c>
      <c r="B19" s="15">
        <v>46189</v>
      </c>
      <c r="C19" s="66" t="s">
        <v>30</v>
      </c>
      <c r="D19" s="19"/>
      <c r="E19" s="19">
        <v>120</v>
      </c>
      <c r="F19" s="19">
        <f>=IF(F18&lt;&gt;"NA",F18+D19+E19,"NA")</f>
      </c>
      <c r="G19" s="45" t="s">
        <v>7</v>
      </c>
    </row>
    <row r="20">
      <c r="A20" s="13">
        <v>46189</v>
      </c>
      <c r="B20" s="16">
        <v>46189</v>
      </c>
      <c r="C20" s="57" t="s">
        <v>31</v>
      </c>
      <c r="D20" s="18"/>
      <c r="E20" s="18">
        <v>6000</v>
      </c>
      <c r="F20" s="18">
        <f>=IF(F19&lt;&gt;"NA",F19+D20+E20,"NA")</f>
      </c>
      <c r="G20" s="44" t="s">
        <v>7</v>
      </c>
    </row>
    <row r="21">
      <c r="A21" s="11">
        <v>46189</v>
      </c>
      <c r="B21" s="15">
        <v>46189</v>
      </c>
      <c r="C21" s="66" t="s">
        <v>32</v>
      </c>
      <c r="D21" s="19">
        <v>-264.6</v>
      </c>
      <c r="E21" s="19"/>
      <c r="F21" s="19">
        <f>=IF(F20&lt;&gt;"NA",F20+D21+E21,"NA")</f>
      </c>
      <c r="G21" s="45" t="s">
        <v>7</v>
      </c>
    </row>
    <row r="22">
      <c r="A22" s="13">
        <v>46189</v>
      </c>
      <c r="B22" s="16">
        <v>46189</v>
      </c>
      <c r="C22" s="57" t="s">
        <v>33</v>
      </c>
      <c r="D22" s="18">
        <v>-134.4</v>
      </c>
      <c r="E22" s="18"/>
      <c r="F22" s="18">
        <f>=IF(F21&lt;&gt;"NA",F21+D22+E22,"NA")</f>
      </c>
      <c r="G22" s="44" t="s">
        <v>7</v>
      </c>
    </row>
    <row r="23">
      <c r="A23" s="11">
        <v>46189</v>
      </c>
      <c r="B23" s="15">
        <v>46189</v>
      </c>
      <c r="C23" s="66" t="s">
        <v>34</v>
      </c>
      <c r="D23" s="19">
        <v>-171.84</v>
      </c>
      <c r="E23" s="19"/>
      <c r="F23" s="19">
        <f>=IF(F22&lt;&gt;"NA",F22+D23+E23,"NA")</f>
      </c>
      <c r="G23" s="45" t="s">
        <v>7</v>
      </c>
    </row>
    <row r="24">
      <c r="A24" s="13">
        <v>46189</v>
      </c>
      <c r="B24" s="16">
        <v>46189</v>
      </c>
      <c r="C24" s="57" t="s">
        <v>35</v>
      </c>
      <c r="D24" s="18">
        <v>-444</v>
      </c>
      <c r="E24" s="18"/>
      <c r="F24" s="18">
        <f>=IF(F23&lt;&gt;"NA",F23+D24+E24,"NA")</f>
      </c>
      <c r="G24" s="44" t="s">
        <v>7</v>
      </c>
    </row>
    <row r="25">
      <c r="A25" s="11">
        <v>46189</v>
      </c>
      <c r="B25" s="15">
        <v>46189</v>
      </c>
      <c r="C25" s="66" t="s">
        <v>36</v>
      </c>
      <c r="D25" s="19">
        <v>-608.65</v>
      </c>
      <c r="E25" s="19"/>
      <c r="F25" s="19">
        <f>=IF(F24&lt;&gt;"NA",F24+D25+E25,"NA")</f>
      </c>
      <c r="G25" s="45" t="s">
        <v>7</v>
      </c>
    </row>
    <row r="26">
      <c r="A26" s="13">
        <v>46189</v>
      </c>
      <c r="B26" s="16">
        <v>46189</v>
      </c>
      <c r="C26" s="57" t="s">
        <v>37</v>
      </c>
      <c r="D26" s="18">
        <v>-64</v>
      </c>
      <c r="E26" s="18"/>
      <c r="F26" s="18">
        <f>=IF(F25&lt;&gt;"NA",F25+D26+E26,"NA")</f>
      </c>
      <c r="G26" s="44" t="s">
        <v>7</v>
      </c>
    </row>
    <row r="27">
      <c r="A27" s="11">
        <v>46189</v>
      </c>
      <c r="B27" s="15">
        <v>46189</v>
      </c>
      <c r="C27" s="66" t="s">
        <v>38</v>
      </c>
      <c r="D27" s="19">
        <v>-597.1</v>
      </c>
      <c r="E27" s="19"/>
      <c r="F27" s="19">
        <f>=IF(F26&lt;&gt;"NA",F26+D27+E27,"NA")</f>
      </c>
      <c r="G27" s="45" t="s">
        <v>7</v>
      </c>
    </row>
    <row r="28">
      <c r="A28" s="13">
        <v>46189</v>
      </c>
      <c r="B28" s="16">
        <v>46189</v>
      </c>
      <c r="C28" s="57" t="s">
        <v>39</v>
      </c>
      <c r="D28" s="18">
        <v>-293.8</v>
      </c>
      <c r="E28" s="18"/>
      <c r="F28" s="18">
        <f>=IF(F27&lt;&gt;"NA",F27+D28+E28,"NA")</f>
      </c>
      <c r="G28" s="44" t="s">
        <v>7</v>
      </c>
    </row>
    <row r="29">
      <c r="A29" s="11">
        <v>46189</v>
      </c>
      <c r="B29" s="15">
        <v>46189</v>
      </c>
      <c r="C29" s="66" t="s">
        <v>40</v>
      </c>
      <c r="D29" s="19">
        <v>-130.2</v>
      </c>
      <c r="E29" s="19"/>
      <c r="F29" s="19">
        <f>=IF(F28&lt;&gt;"NA",F28+D29+E29,"NA")</f>
      </c>
      <c r="G29" s="45" t="s">
        <v>7</v>
      </c>
    </row>
    <row r="30">
      <c r="A30" s="13">
        <v>46189</v>
      </c>
      <c r="B30" s="16">
        <v>46189</v>
      </c>
      <c r="C30" s="57" t="s">
        <v>41</v>
      </c>
      <c r="D30" s="18">
        <v>-244.85</v>
      </c>
      <c r="E30" s="18"/>
      <c r="F30" s="18">
        <f>=IF(F29&lt;&gt;"NA",F29+D30+E30,"NA")</f>
      </c>
      <c r="G30" s="44" t="s">
        <v>7</v>
      </c>
    </row>
    <row r="31">
      <c r="A31" s="11">
        <v>46190</v>
      </c>
      <c r="B31" s="15">
        <v>46190</v>
      </c>
      <c r="C31" s="66" t="s">
        <v>42</v>
      </c>
      <c r="D31" s="19"/>
      <c r="E31" s="19">
        <v>30</v>
      </c>
      <c r="F31" s="19">
        <f>=IF(F30&lt;&gt;"NA",F30+D31+E31,"NA")</f>
      </c>
      <c r="G31" s="45" t="s">
        <v>7</v>
      </c>
    </row>
    <row r="32">
      <c r="A32" s="13">
        <v>46191</v>
      </c>
      <c r="B32" s="16">
        <v>46191</v>
      </c>
      <c r="C32" s="57" t="s">
        <v>43</v>
      </c>
      <c r="D32" s="18"/>
      <c r="E32" s="18">
        <v>39</v>
      </c>
      <c r="F32" s="18">
        <f>=IF(F31&lt;&gt;"NA",F31+D32+E32,"NA")</f>
      </c>
      <c r="G32" s="44" t="s">
        <v>7</v>
      </c>
    </row>
    <row r="33">
      <c r="A33" s="11">
        <v>46191</v>
      </c>
      <c r="B33" s="15">
        <v>46191</v>
      </c>
      <c r="C33" s="66" t="s">
        <v>44</v>
      </c>
      <c r="D33" s="19"/>
      <c r="E33" s="19">
        <v>45</v>
      </c>
      <c r="F33" s="19">
        <f>=IF(F32&lt;&gt;"NA",F32+D33+E33,"NA")</f>
      </c>
      <c r="G33" s="45" t="s">
        <v>7</v>
      </c>
    </row>
    <row r="34">
      <c r="A34" s="13">
        <v>46192</v>
      </c>
      <c r="B34" s="16">
        <v>46192</v>
      </c>
      <c r="C34" s="57" t="s">
        <v>45</v>
      </c>
      <c r="D34" s="18">
        <v>-513.75</v>
      </c>
      <c r="E34" s="18"/>
      <c r="F34" s="18">
        <f>=IF(F33&lt;&gt;"NA",F33+D34+E34,"NA")</f>
      </c>
      <c r="G34" s="44" t="s">
        <v>7</v>
      </c>
    </row>
    <row r="35">
      <c r="A35" s="11">
        <v>46196</v>
      </c>
      <c r="B35" s="15">
        <v>46196</v>
      </c>
      <c r="C35" s="66" t="s">
        <v>46</v>
      </c>
      <c r="D35" s="19">
        <v>-5</v>
      </c>
      <c r="E35" s="19"/>
      <c r="F35" s="19">
        <f>=IF(F34&lt;&gt;"NA",F34+D35+E35,"NA")</f>
      </c>
      <c r="G35" s="45" t="s">
        <v>7</v>
      </c>
    </row>
    <row r="36">
      <c r="A36" s="13">
        <v>46197</v>
      </c>
      <c r="B36" s="16">
        <v>46197</v>
      </c>
      <c r="C36" s="57" t="s">
        <v>47</v>
      </c>
      <c r="D36" s="18">
        <v>-530.25</v>
      </c>
      <c r="E36" s="18"/>
      <c r="F36" s="18">
        <f>=IF(F35&lt;&gt;"NA",F35+D36+E36,"NA")</f>
      </c>
      <c r="G36" s="44" t="s">
        <v>7</v>
      </c>
    </row>
    <row r="37">
      <c r="A37" s="11">
        <v>46198</v>
      </c>
      <c r="B37" s="15">
        <v>46198</v>
      </c>
      <c r="C37" s="66" t="s">
        <v>48</v>
      </c>
      <c r="D37" s="19">
        <v>-371.33</v>
      </c>
      <c r="E37" s="19"/>
      <c r="F37" s="19">
        <f>=IF(F36&lt;&gt;"NA",F36+D37+E37,"NA")</f>
      </c>
      <c r="G37" s="45" t="s">
        <v>7</v>
      </c>
    </row>
    <row r="38">
      <c r="A38" s="13">
        <v>46198</v>
      </c>
      <c r="B38" s="16">
        <v>46198</v>
      </c>
      <c r="C38" s="57" t="s">
        <v>49</v>
      </c>
      <c r="D38" s="18"/>
      <c r="E38" s="18">
        <v>80</v>
      </c>
      <c r="F38" s="18">
        <f>=IF(F37&lt;&gt;"NA",F37+D38+E38,"NA")</f>
      </c>
      <c r="G38" s="44" t="s">
        <v>7</v>
      </c>
    </row>
    <row r="39">
      <c r="A39" s="11">
        <v>46200</v>
      </c>
      <c r="B39" s="15">
        <v>46202</v>
      </c>
      <c r="C39" s="66" t="s">
        <v>26</v>
      </c>
      <c r="D39" s="19"/>
      <c r="E39" s="19">
        <v>1115</v>
      </c>
      <c r="F39" s="19">
        <f>=IF(F38&lt;&gt;"NA",F38+D39+E39,"NA")</f>
      </c>
      <c r="G39" s="45" t="s">
        <v>7</v>
      </c>
    </row>
    <row r="40">
      <c r="A40" s="13">
        <v>46202</v>
      </c>
      <c r="B40" s="16">
        <v>46202</v>
      </c>
      <c r="C40" s="57" t="s">
        <v>50</v>
      </c>
      <c r="D40" s="18">
        <v>-1647.32</v>
      </c>
      <c r="E40" s="18"/>
      <c r="F40" s="18">
        <f>=IF(F39&lt;&gt;"NA",F39+D40+E40,"NA")</f>
      </c>
      <c r="G40" s="44" t="s">
        <v>7</v>
      </c>
    </row>
    <row r="41">
      <c r="A41" s="11">
        <v>46203</v>
      </c>
      <c r="B41" s="15">
        <v>46203</v>
      </c>
      <c r="C41" s="66" t="s">
        <v>51</v>
      </c>
      <c r="D41" s="19"/>
      <c r="E41" s="19">
        <v>55</v>
      </c>
      <c r="F41" s="19">
        <f>=IF(F40&lt;&gt;"NA",F40+D41+E41,"NA")</f>
      </c>
      <c r="G41" s="45" t="s">
        <v>7</v>
      </c>
    </row>
    <row r="42">
      <c r="A42" s="13">
        <v>46203</v>
      </c>
      <c r="B42" s="16">
        <v>46203</v>
      </c>
      <c r="C42" s="57" t="s">
        <v>30</v>
      </c>
      <c r="D42" s="18"/>
      <c r="E42" s="18">
        <v>340</v>
      </c>
      <c r="F42" s="18">
        <f>=IF(F41&lt;&gt;"NA",F41+D42+E42,"NA")</f>
      </c>
      <c r="G42" s="44" t="s">
        <v>7</v>
      </c>
    </row>
    <row r="43">
      <c r="A43" s="11">
        <v>46204</v>
      </c>
      <c r="B43" s="15">
        <v>46204</v>
      </c>
      <c r="C43" s="66" t="s">
        <v>52</v>
      </c>
      <c r="D43" s="19"/>
      <c r="E43" s="19">
        <v>39</v>
      </c>
      <c r="F43" s="19">
        <f>=IF(F42&lt;&gt;"NA",F42+D43+E43,"NA")</f>
      </c>
      <c r="G43" s="45" t="s">
        <v>7</v>
      </c>
    </row>
    <row r="44">
      <c r="A44" s="13">
        <v>46204</v>
      </c>
      <c r="B44" s="16">
        <v>46205</v>
      </c>
      <c r="C44" s="57" t="s">
        <v>53</v>
      </c>
      <c r="D44" s="18"/>
      <c r="E44" s="18">
        <v>500</v>
      </c>
      <c r="F44" s="18">
        <f>=IF(F43&lt;&gt;"NA",F43+D44+E44,"NA")</f>
      </c>
      <c r="G44" s="44" t="s">
        <v>7</v>
      </c>
    </row>
    <row r="45">
      <c r="A45" s="11">
        <v>46204</v>
      </c>
      <c r="B45" s="15">
        <v>46204</v>
      </c>
      <c r="C45" s="66" t="s">
        <v>54</v>
      </c>
      <c r="D45" s="19"/>
      <c r="E45" s="19">
        <v>211</v>
      </c>
      <c r="F45" s="19">
        <f>=IF(F44&lt;&gt;"NA",F44+D45+E45,"NA")</f>
      </c>
      <c r="G45" s="45" t="s">
        <v>7</v>
      </c>
    </row>
    <row r="46">
      <c r="A46" s="13">
        <v>46204</v>
      </c>
      <c r="B46" s="16">
        <v>46204</v>
      </c>
      <c r="C46" s="57" t="s">
        <v>55</v>
      </c>
      <c r="D46" s="18"/>
      <c r="E46" s="18">
        <v>1900</v>
      </c>
      <c r="F46" s="18">
        <f>=IF(F45&lt;&gt;"NA",F45+D46+E46,"NA")</f>
      </c>
      <c r="G46" s="44" t="s">
        <v>7</v>
      </c>
    </row>
    <row r="47">
      <c r="A47" s="11">
        <v>46205</v>
      </c>
      <c r="B47" s="15">
        <v>46205</v>
      </c>
      <c r="C47" s="66" t="s">
        <v>56</v>
      </c>
      <c r="D47" s="19"/>
      <c r="E47" s="19">
        <v>45</v>
      </c>
      <c r="F47" s="19">
        <f>=IF(F46&lt;&gt;"NA",F46+D47+E47,"NA")</f>
      </c>
      <c r="G47" s="45" t="s">
        <v>7</v>
      </c>
    </row>
    <row r="48">
      <c r="A48" s="13">
        <v>46205</v>
      </c>
      <c r="B48" s="16">
        <v>46205</v>
      </c>
      <c r="C48" s="57" t="s">
        <v>57</v>
      </c>
      <c r="D48" s="18">
        <v>-1652.46</v>
      </c>
      <c r="E48" s="18"/>
      <c r="F48" s="18">
        <f>=IF(F47&lt;&gt;"NA",F47+D48+E48,"NA")</f>
      </c>
      <c r="G48" s="44" t="s">
        <v>7</v>
      </c>
    </row>
    <row r="49">
      <c r="A49" s="11">
        <v>46205</v>
      </c>
      <c r="B49" s="15">
        <v>46205</v>
      </c>
      <c r="C49" s="66" t="s">
        <v>58</v>
      </c>
      <c r="D49" s="19"/>
      <c r="E49" s="19">
        <v>49</v>
      </c>
      <c r="F49" s="19">
        <f>=IF(F48&lt;&gt;"NA",F48+D49+E49,"NA")</f>
      </c>
      <c r="G49" s="45" t="s">
        <v>7</v>
      </c>
    </row>
    <row r="50">
      <c r="A50" s="13">
        <v>46205</v>
      </c>
      <c r="B50" s="16">
        <v>46205</v>
      </c>
      <c r="C50" s="57" t="s">
        <v>59</v>
      </c>
      <c r="D50" s="18"/>
      <c r="E50" s="18">
        <v>45</v>
      </c>
      <c r="F50" s="18">
        <f>=IF(F49&lt;&gt;"NA",F49+D50+E50,"NA")</f>
      </c>
      <c r="G50" s="44" t="s">
        <v>7</v>
      </c>
    </row>
    <row r="51">
      <c r="A51" s="11">
        <v>46205</v>
      </c>
      <c r="B51" s="15">
        <v>46205</v>
      </c>
      <c r="C51" s="66" t="s">
        <v>60</v>
      </c>
      <c r="D51" s="19"/>
      <c r="E51" s="19">
        <v>39</v>
      </c>
      <c r="F51" s="19">
        <f>=IF(F50&lt;&gt;"NA",F50+D51+E51,"NA")</f>
      </c>
      <c r="G51" s="45" t="s">
        <v>7</v>
      </c>
    </row>
    <row r="52">
      <c r="A52" s="13">
        <v>46205</v>
      </c>
      <c r="B52" s="16">
        <v>46205</v>
      </c>
      <c r="C52" s="57" t="s">
        <v>61</v>
      </c>
      <c r="D52" s="18"/>
      <c r="E52" s="18">
        <v>6000</v>
      </c>
      <c r="F52" s="18">
        <f>=IF(F51&lt;&gt;"NA",F51+D52+E52,"NA")</f>
      </c>
      <c r="G52" s="44" t="s">
        <v>7</v>
      </c>
    </row>
    <row r="53">
      <c r="A53" s="11">
        <v>46206</v>
      </c>
      <c r="B53" s="15">
        <v>46206</v>
      </c>
      <c r="C53" s="66" t="s">
        <v>62</v>
      </c>
      <c r="D53" s="19">
        <v>-1800</v>
      </c>
      <c r="E53" s="19"/>
      <c r="F53" s="19">
        <f>=IF(F52&lt;&gt;"NA",F52+D53+E53,"NA")</f>
      </c>
      <c r="G53" s="45" t="s">
        <v>7</v>
      </c>
    </row>
    <row r="54">
      <c r="A54" s="13">
        <v>46206</v>
      </c>
      <c r="B54" s="16">
        <v>46206</v>
      </c>
      <c r="C54" s="57" t="s">
        <v>63</v>
      </c>
      <c r="D54" s="18">
        <v>-1652.46</v>
      </c>
      <c r="E54" s="18"/>
      <c r="F54" s="18">
        <f>=IF(F53&lt;&gt;"NA",F53+D54+E54,"NA")</f>
      </c>
      <c r="G54" s="44" t="s">
        <v>7</v>
      </c>
    </row>
    <row r="55">
      <c r="A55" s="11">
        <v>46206</v>
      </c>
      <c r="B55" s="15">
        <v>46206</v>
      </c>
      <c r="C55" s="66" t="s">
        <v>64</v>
      </c>
      <c r="D55" s="19">
        <v>-220.5</v>
      </c>
      <c r="E55" s="19"/>
      <c r="F55" s="19">
        <f>=IF(F54&lt;&gt;"NA",F54+D55+E55,"NA")</f>
      </c>
      <c r="G55" s="45" t="s">
        <v>7</v>
      </c>
    </row>
    <row r="56">
      <c r="A56" s="13">
        <v>46206</v>
      </c>
      <c r="B56" s="16">
        <v>46206</v>
      </c>
      <c r="C56" s="57" t="s">
        <v>65</v>
      </c>
      <c r="D56" s="18">
        <v>-266</v>
      </c>
      <c r="E56" s="18"/>
      <c r="F56" s="18">
        <f>=IF(F55&lt;&gt;"NA",F55+D56+E56,"NA")</f>
      </c>
      <c r="G56" s="44" t="s">
        <v>7</v>
      </c>
    </row>
    <row r="57">
      <c r="A57" s="11">
        <v>46206</v>
      </c>
      <c r="B57" s="15">
        <v>46206</v>
      </c>
      <c r="C57" s="66" t="s">
        <v>66</v>
      </c>
      <c r="D57" s="19">
        <v>-300</v>
      </c>
      <c r="E57" s="19"/>
      <c r="F57" s="19">
        <f>=IF(F56&lt;&gt;"NA",F56+D57+E57,"NA")</f>
      </c>
      <c r="G57" s="45" t="s">
        <v>7</v>
      </c>
    </row>
    <row r="58">
      <c r="A58" s="13">
        <v>46208</v>
      </c>
      <c r="B58" s="16">
        <v>46208</v>
      </c>
      <c r="C58" s="57" t="s">
        <v>67</v>
      </c>
      <c r="D58" s="18">
        <v>-214</v>
      </c>
      <c r="E58" s="18"/>
      <c r="F58" s="18">
        <f>=IF(F57&lt;&gt;"NA",F57+D58+E58,"NA")</f>
      </c>
      <c r="G58" s="44" t="s">
        <v>7</v>
      </c>
    </row>
    <row r="59">
      <c r="A59" s="11">
        <v>46208</v>
      </c>
      <c r="B59" s="15">
        <v>46208</v>
      </c>
      <c r="C59" s="66" t="s">
        <v>68</v>
      </c>
      <c r="D59" s="19">
        <v>-244.86</v>
      </c>
      <c r="E59" s="19"/>
      <c r="F59" s="19">
        <f>=IF(F58&lt;&gt;"NA",F58+D59+E59,"NA")</f>
      </c>
      <c r="G59" s="45" t="s">
        <v>7</v>
      </c>
    </row>
    <row r="60">
      <c r="A60" s="13">
        <v>46209</v>
      </c>
      <c r="B60" s="16">
        <v>46209</v>
      </c>
      <c r="C60" s="57" t="s">
        <v>69</v>
      </c>
      <c r="D60" s="18">
        <v>-39.99</v>
      </c>
      <c r="E60" s="18"/>
      <c r="F60" s="18">
        <f>=IF(F59&lt;&gt;"NA",F59+D60+E60,"NA")</f>
      </c>
      <c r="G60" s="44" t="s">
        <v>7</v>
      </c>
    </row>
    <row r="61">
      <c r="A61" s="11">
        <v>46209</v>
      </c>
      <c r="B61" s="15">
        <v>46209</v>
      </c>
      <c r="C61" s="66" t="s">
        <v>70</v>
      </c>
      <c r="D61" s="19">
        <v>-51.18</v>
      </c>
      <c r="E61" s="19"/>
      <c r="F61" s="19">
        <f>=IF(F60&lt;&gt;"NA",F60+D61+E61,"NA")</f>
      </c>
      <c r="G61" s="45" t="s">
        <v>7</v>
      </c>
    </row>
    <row r="62">
      <c r="A62" s="13">
        <v>46209</v>
      </c>
      <c r="B62" s="16">
        <v>46209</v>
      </c>
      <c r="C62" s="57" t="s">
        <v>71</v>
      </c>
      <c r="D62" s="18">
        <v>-280.76</v>
      </c>
      <c r="E62" s="18"/>
      <c r="F62" s="18">
        <f>=IF(F61&lt;&gt;"NA",F61+D62+E62,"NA")</f>
      </c>
      <c r="G62" s="44" t="s">
        <v>7</v>
      </c>
    </row>
    <row r="63">
      <c r="A63" s="11">
        <v>46210</v>
      </c>
      <c r="B63" s="15">
        <v>46210</v>
      </c>
      <c r="C63" s="66" t="s">
        <v>72</v>
      </c>
      <c r="D63" s="19"/>
      <c r="E63" s="19">
        <v>530.25</v>
      </c>
      <c r="F63" s="19">
        <f>=IF(F62&lt;&gt;"NA",F62+D63+E63,"NA")</f>
      </c>
      <c r="G63" s="45" t="s">
        <v>7</v>
      </c>
    </row>
    <row r="64">
      <c r="A64" s="13">
        <v>46210</v>
      </c>
      <c r="B64" s="16">
        <v>46210</v>
      </c>
      <c r="C64" s="57" t="s">
        <v>73</v>
      </c>
      <c r="D64" s="18">
        <v>-403.89</v>
      </c>
      <c r="E64" s="18"/>
      <c r="F64" s="18">
        <f>=IF(F63&lt;&gt;"NA",F63+D64+E64,"NA")</f>
      </c>
      <c r="G64" s="44" t="s">
        <v>7</v>
      </c>
    </row>
    <row r="65">
      <c r="A65" s="11">
        <v>46211</v>
      </c>
      <c r="B65" s="15">
        <v>46211</v>
      </c>
      <c r="C65" s="66" t="s">
        <v>74</v>
      </c>
      <c r="D65" s="19"/>
      <c r="E65" s="19">
        <v>55</v>
      </c>
      <c r="F65" s="19">
        <f>=IF(F64&lt;&gt;"NA",F64+D65+E65,"NA")</f>
      </c>
      <c r="G65" s="45" t="s">
        <v>7</v>
      </c>
    </row>
    <row r="66">
      <c r="A66" s="13">
        <v>46211</v>
      </c>
      <c r="B66" s="16">
        <v>46211</v>
      </c>
      <c r="C66" s="57" t="s">
        <v>75</v>
      </c>
      <c r="D66" s="18"/>
      <c r="E66" s="18">
        <v>15</v>
      </c>
      <c r="F66" s="18">
        <f>=IF(F65&lt;&gt;"NA",F65+D66+E66,"NA")</f>
      </c>
      <c r="G66" s="44" t="s">
        <v>7</v>
      </c>
    </row>
    <row r="67">
      <c r="A67" s="11">
        <v>46212</v>
      </c>
      <c r="B67" s="15">
        <v>46212</v>
      </c>
      <c r="C67" s="66" t="s">
        <v>76</v>
      </c>
      <c r="D67" s="19"/>
      <c r="E67" s="19">
        <v>10</v>
      </c>
      <c r="F67" s="19">
        <f>=IF(F66&lt;&gt;"NA",F66+D67+E67,"NA")</f>
      </c>
      <c r="G67" s="45" t="s">
        <v>7</v>
      </c>
    </row>
    <row r="68">
      <c r="A68" s="13">
        <v>46212</v>
      </c>
      <c r="B68" s="16">
        <v>46212</v>
      </c>
      <c r="C68" s="57" t="s">
        <v>77</v>
      </c>
      <c r="D68" s="18"/>
      <c r="E68" s="18">
        <v>40</v>
      </c>
      <c r="F68" s="18">
        <f>=IF(F67&lt;&gt;"NA",F67+D68+E68,"NA")</f>
      </c>
      <c r="G68" s="44" t="s">
        <v>7</v>
      </c>
    </row>
    <row r="69">
      <c r="A69" s="11">
        <v>46213</v>
      </c>
      <c r="B69" s="15">
        <v>46204</v>
      </c>
      <c r="C69" s="66" t="s">
        <v>78</v>
      </c>
      <c r="D69" s="19">
        <v>-17.39</v>
      </c>
      <c r="E69" s="19"/>
      <c r="F69" s="19">
        <f>=IF(F68&lt;&gt;"NA",F68+D69+E69,"NA")</f>
      </c>
      <c r="G69" s="45" t="s">
        <v>7</v>
      </c>
    </row>
    <row r="70">
      <c r="A70" s="13">
        <v>46213</v>
      </c>
      <c r="B70" s="16">
        <v>46213</v>
      </c>
      <c r="C70" s="57" t="s">
        <v>79</v>
      </c>
      <c r="D70" s="18"/>
      <c r="E70" s="18">
        <v>10</v>
      </c>
      <c r="F70" s="18">
        <f>=IF(F69&lt;&gt;"NA",F69+D70+E70,"NA")</f>
      </c>
      <c r="G70" s="44" t="s">
        <v>7</v>
      </c>
    </row>
    <row r="71">
      <c r="A71" s="11">
        <v>46219</v>
      </c>
      <c r="B71" s="15">
        <v>46219</v>
      </c>
      <c r="C71" s="66" t="s">
        <v>80</v>
      </c>
      <c r="D71" s="19">
        <v>-1830</v>
      </c>
      <c r="E71" s="19"/>
      <c r="F71" s="19">
        <f>=IF(F70&lt;&gt;"NA",F70+D71+E71,"NA")</f>
      </c>
      <c r="G71" s="45" t="s">
        <v>7</v>
      </c>
    </row>
    <row r="72">
      <c r="A72" s="13">
        <v>46219</v>
      </c>
      <c r="B72" s="16">
        <v>46219</v>
      </c>
      <c r="C72" s="57" t="s">
        <v>81</v>
      </c>
      <c r="D72" s="18"/>
      <c r="E72" s="18">
        <v>220</v>
      </c>
      <c r="F72" s="18">
        <f>=IF(F71&lt;&gt;"NA",F71+D72+E72,"NA")</f>
      </c>
      <c r="G72" s="44" t="s">
        <v>7</v>
      </c>
    </row>
    <row r="73">
      <c r="A73" s="11">
        <v>46220</v>
      </c>
      <c r="B73" s="15">
        <v>46220</v>
      </c>
      <c r="C73" s="66" t="s">
        <v>82</v>
      </c>
      <c r="D73" s="19"/>
      <c r="E73" s="19">
        <v>30</v>
      </c>
      <c r="F73" s="19">
        <f>=IF(F72&lt;&gt;"NA",F72+D73+E73,"NA")</f>
      </c>
      <c r="G73" s="45" t="s">
        <v>7</v>
      </c>
    </row>
    <row r="74">
      <c r="A74" s="13">
        <v>46224</v>
      </c>
      <c r="B74" s="16">
        <v>46224</v>
      </c>
      <c r="C74" s="57" t="s">
        <v>83</v>
      </c>
      <c r="D74" s="18"/>
      <c r="E74" s="18">
        <v>143</v>
      </c>
      <c r="F74" s="18">
        <f>=IF(F73&lt;&gt;"NA",F73+D74+E74,"NA")</f>
      </c>
      <c r="G74" s="44" t="s">
        <v>7</v>
      </c>
    </row>
    <row r="75">
      <c r="A75" s="11">
        <v>46225</v>
      </c>
      <c r="B75" s="15">
        <v>46225</v>
      </c>
      <c r="C75" s="66" t="s">
        <v>84</v>
      </c>
      <c r="D75" s="19">
        <v>-5</v>
      </c>
      <c r="E75" s="19"/>
      <c r="F75" s="19">
        <f>=IF(F74&lt;&gt;"NA",F74+D75+E75,"NA")</f>
      </c>
      <c r="G75" s="45" t="s">
        <v>7</v>
      </c>
    </row>
    <row r="76">
      <c r="A76" s="13">
        <v>46226</v>
      </c>
      <c r="B76" s="16">
        <v>46226</v>
      </c>
      <c r="C76" s="57" t="s">
        <v>85</v>
      </c>
      <c r="D76" s="18">
        <v>-264.6</v>
      </c>
      <c r="E76" s="18"/>
      <c r="F76" s="18">
        <f>=IF(F75&lt;&gt;"NA",F75+D76+E76,"NA")</f>
      </c>
      <c r="G76" s="44" t="s">
        <v>7</v>
      </c>
    </row>
    <row r="77">
      <c r="A77" s="11">
        <v>46226</v>
      </c>
      <c r="B77" s="15">
        <v>46226</v>
      </c>
      <c r="C77" s="66" t="s">
        <v>86</v>
      </c>
      <c r="D77" s="19">
        <v>-224.95</v>
      </c>
      <c r="E77" s="19"/>
      <c r="F77" s="19">
        <f>=IF(F76&lt;&gt;"NA",F76+D77+E77,"NA")</f>
      </c>
      <c r="G77" s="45" t="s">
        <v>7</v>
      </c>
    </row>
    <row r="78">
      <c r="A78" s="13">
        <v>46230</v>
      </c>
      <c r="B78" s="16">
        <v>46230</v>
      </c>
      <c r="C78" s="57" t="s">
        <v>87</v>
      </c>
      <c r="D78" s="18">
        <v>-371.03</v>
      </c>
      <c r="E78" s="18"/>
      <c r="F78" s="18">
        <f>=IF(F77&lt;&gt;"NA",F77+D78+E78,"NA")</f>
      </c>
      <c r="G78" s="44" t="s">
        <v>7</v>
      </c>
    </row>
    <row r="79">
      <c r="A79" s="11">
        <v>46234</v>
      </c>
      <c r="B79" s="15">
        <v>46234</v>
      </c>
      <c r="C79" s="66" t="s">
        <v>88</v>
      </c>
      <c r="D79" s="19">
        <v>-84.72</v>
      </c>
      <c r="E79" s="19"/>
      <c r="F79" s="19">
        <f>=IF(F78&lt;&gt;"NA",F78+D79+E79,"NA")</f>
      </c>
      <c r="G79" s="45" t="s">
        <v>7</v>
      </c>
    </row>
    <row r="80">
      <c r="A80" s="13">
        <v>46234</v>
      </c>
      <c r="B80" s="16">
        <v>46234</v>
      </c>
      <c r="C80" s="57" t="s">
        <v>89</v>
      </c>
      <c r="D80" s="18">
        <v>-84.72</v>
      </c>
      <c r="E80" s="18"/>
      <c r="F80" s="18">
        <f>=IF(F79&lt;&gt;"NA",F79+D80+E80,"NA")</f>
      </c>
      <c r="G80" s="44" t="s">
        <v>7</v>
      </c>
    </row>
    <row r="81">
      <c r="A81" s="11">
        <v>46234</v>
      </c>
      <c r="B81" s="15">
        <v>46234</v>
      </c>
      <c r="C81" s="66" t="s">
        <v>90</v>
      </c>
      <c r="D81" s="19">
        <v>-84.72</v>
      </c>
      <c r="E81" s="19"/>
      <c r="F81" s="19">
        <f>=IF(F80&lt;&gt;"NA",F80+D81+E81,"NA")</f>
      </c>
      <c r="G81" s="45" t="s">
        <v>7</v>
      </c>
    </row>
    <row r="82">
      <c r="A82" s="13">
        <v>46236</v>
      </c>
      <c r="B82" s="16">
        <v>46236</v>
      </c>
      <c r="C82" s="57" t="s">
        <v>91</v>
      </c>
      <c r="D82" s="18"/>
      <c r="E82" s="18">
        <v>1000</v>
      </c>
      <c r="F82" s="18">
        <f>=IF(F81&lt;&gt;"NA",F81+D82+E82,"NA")</f>
      </c>
      <c r="G82" s="44" t="s">
        <v>7</v>
      </c>
    </row>
    <row r="83">
      <c r="A83" s="11">
        <v>46236</v>
      </c>
      <c r="B83" s="15">
        <v>46236</v>
      </c>
      <c r="C83" s="66" t="s">
        <v>92</v>
      </c>
      <c r="D83" s="19">
        <v>-1647.32</v>
      </c>
      <c r="E83" s="19"/>
      <c r="F83" s="19">
        <f>=IF(F82&lt;&gt;"NA",F82+D83+E83,"NA")</f>
      </c>
      <c r="G83" s="45" t="s">
        <v>7</v>
      </c>
    </row>
    <row r="84">
      <c r="A84" s="13">
        <v>46238</v>
      </c>
      <c r="B84" s="16">
        <v>46238</v>
      </c>
      <c r="C84" s="57" t="s">
        <v>93</v>
      </c>
      <c r="D84" s="18"/>
      <c r="E84" s="18">
        <v>430</v>
      </c>
      <c r="F84" s="18">
        <f>=IF(F83&lt;&gt;"NA",F83+D84+E84,"NA")</f>
      </c>
      <c r="G84" s="44" t="s">
        <v>7</v>
      </c>
    </row>
    <row r="85">
      <c r="A85" s="11">
        <v>46239</v>
      </c>
      <c r="B85" s="15">
        <v>46239</v>
      </c>
      <c r="C85" s="66" t="s">
        <v>94</v>
      </c>
      <c r="D85" s="19">
        <v>-39.99</v>
      </c>
      <c r="E85" s="19"/>
      <c r="F85" s="19">
        <f>=IF(F84&lt;&gt;"NA",F84+D85+E85,"NA")</f>
      </c>
      <c r="G85" s="45" t="s">
        <v>7</v>
      </c>
    </row>
    <row r="86">
      <c r="A86" s="13">
        <v>46239</v>
      </c>
      <c r="B86" s="16">
        <v>46239</v>
      </c>
      <c r="C86" s="57" t="s">
        <v>95</v>
      </c>
      <c r="D86" s="18">
        <v>-51.18</v>
      </c>
      <c r="E86" s="18"/>
      <c r="F86" s="18">
        <f>=IF(F85&lt;&gt;"NA",F85+D86+E86,"NA")</f>
      </c>
      <c r="G86" s="44" t="s">
        <v>7</v>
      </c>
    </row>
    <row r="87">
      <c r="A87" s="11">
        <v>46239</v>
      </c>
      <c r="B87" s="15">
        <v>46239</v>
      </c>
      <c r="C87" s="66" t="s">
        <v>96</v>
      </c>
      <c r="D87" s="19"/>
      <c r="E87" s="19">
        <v>475</v>
      </c>
      <c r="F87" s="19">
        <f>=IF(F86&lt;&gt;"NA",F86+D87+E87,"NA")</f>
      </c>
      <c r="G87" s="45" t="s">
        <v>7</v>
      </c>
    </row>
    <row r="88">
      <c r="A88" s="13">
        <v>46240</v>
      </c>
      <c r="B88" s="16">
        <v>46240</v>
      </c>
      <c r="C88" s="57" t="s">
        <v>97</v>
      </c>
      <c r="D88" s="18"/>
      <c r="E88" s="18">
        <v>40</v>
      </c>
      <c r="F88" s="18">
        <f>=IF(F87&lt;&gt;"NA",F87+D88+E88,"NA")</f>
      </c>
      <c r="G88" s="44" t="s">
        <v>7</v>
      </c>
    </row>
    <row r="89">
      <c r="A89" s="11">
        <v>46240</v>
      </c>
      <c r="B89" s="15">
        <v>46240</v>
      </c>
      <c r="C89" s="66" t="s">
        <v>98</v>
      </c>
      <c r="D89" s="19"/>
      <c r="E89" s="19">
        <v>5000</v>
      </c>
      <c r="F89" s="19">
        <f>=IF(F88&lt;&gt;"NA",F88+D89+E89,"NA")</f>
      </c>
      <c r="G89" s="45" t="s">
        <v>7</v>
      </c>
    </row>
    <row r="90">
      <c r="A90" s="13">
        <v>46240</v>
      </c>
      <c r="B90" s="16">
        <v>46240</v>
      </c>
      <c r="C90" s="57" t="s">
        <v>99</v>
      </c>
      <c r="D90" s="18">
        <v>-1652.46</v>
      </c>
      <c r="E90" s="18"/>
      <c r="F90" s="18">
        <f>=IF(F89&lt;&gt;"NA",F89+D90+E90,"NA")</f>
      </c>
      <c r="G90" s="44" t="s">
        <v>7</v>
      </c>
    </row>
    <row r="91">
      <c r="A91" s="11">
        <v>46240</v>
      </c>
      <c r="B91" s="15">
        <v>46240</v>
      </c>
      <c r="C91" s="66" t="s">
        <v>100</v>
      </c>
      <c r="D91" s="19"/>
      <c r="E91" s="19">
        <v>65</v>
      </c>
      <c r="F91" s="19">
        <f>=IF(F90&lt;&gt;"NA",F90+D91+E91,"NA")</f>
      </c>
      <c r="G91" s="45" t="s">
        <v>7</v>
      </c>
    </row>
    <row r="92">
      <c r="A92" s="13">
        <v>46240</v>
      </c>
      <c r="B92" s="16">
        <v>46240</v>
      </c>
      <c r="C92" s="57" t="s">
        <v>101</v>
      </c>
      <c r="D92" s="18">
        <v>-1652.46</v>
      </c>
      <c r="E92" s="18"/>
      <c r="F92" s="18">
        <f>=IF(F91&lt;&gt;"NA",F91+D92+E92,"NA")</f>
      </c>
      <c r="G92" s="44" t="s">
        <v>7</v>
      </c>
    </row>
    <row r="93">
      <c r="A93" s="23">
        <v>46240</v>
      </c>
      <c r="B93" s="25">
        <v>46240</v>
      </c>
      <c r="C93" s="67" t="s">
        <v>102</v>
      </c>
      <c r="D93" s="26">
        <v>-1800</v>
      </c>
      <c r="E93" s="26"/>
      <c r="F93" s="26">
        <f>=IF(F92&lt;&gt;"NA",F92+D93+E93,"NA")</f>
      </c>
      <c r="G93" s="48" t="s">
        <v>7</v>
      </c>
    </row>
    <row r="95">
      <c r="A95" s="76"/>
      <c r="B95" s="76"/>
      <c r="C95" s="76"/>
      <c r="D95" s="77" t="s">
        <v>103</v>
      </c>
      <c r="E95" s="77" t="s">
        <v>103</v>
      </c>
      <c r="F95" s="22">
        <v>1046.82</v>
      </c>
      <c r="G95" s="38" t="s">
        <v>7</v>
      </c>
    </row>
    <row r="96">
      <c r="A96" s="73" t="s">
        <v>11</v>
      </c>
      <c r="B96" s="73" t="s">
        <v>11</v>
      </c>
      <c r="C96" s="73" t="s">
        <v>11</v>
      </c>
      <c r="D96" s="73" t="s">
        <v>11</v>
      </c>
      <c r="E96" s="73" t="s">
        <v>11</v>
      </c>
      <c r="F96" s="73" t="s">
        <v>11</v>
      </c>
      <c r="G96" s="73"/>
    </row>
  </sheetData>
  <autoFilter ref="A5:E5"/>
  <mergeCells>
    <mergeCell ref="A4:G4"/>
    <mergeCell ref="A1:F1"/>
    <mergeCell ref="A2:F2"/>
    <mergeCell ref="A3:C3"/>
    <mergeCell ref="D3:E3"/>
    <mergeCell ref="A95:C95"/>
    <mergeCell ref="D95:E95"/>
    <mergeCell ref="A96:G96"/>
  </mergeCells>
  <hyperlinks>
    <hyperlink ref="A4" location="'Vos comptes'!A1" display=""/>
    <hyperlink ref="B4" location="'Vos comptes'!A1" display=""/>
    <hyperlink ref="C4" location="'Vos comptes'!A1" display=""/>
    <hyperlink ref="D4" location="'Vos comptes'!A1" display=""/>
    <hyperlink ref="E4" location="'Vos comptes'!A1" display=""/>
    <hyperlink ref="F4" location="'Vos comptes'!A1" display=""/>
    <hyperlink ref="A96" location="'Vos comptes'!A1" display=""/>
    <hyperlink ref="B96" location="'Vos comptes'!A1" display=""/>
    <hyperlink ref="C96" location="'Vos comptes'!A1" display=""/>
    <hyperlink ref="D96" location="'Vos comptes'!A1" display=""/>
    <hyperlink ref="E96" location="'Vos comptes'!A1" display=""/>
    <hyperlink ref="F96" location="'Vos comptes'!A1" display=""/>
  </hyperlinks>
  <printOptions horizontalCentered="1"/>
  <pageMargins left="0.7" right="0.7" top="0.75" bottom="0.75" header="0.3" footer="0.3"/>
  <pageSetup paperSize="9" fitToHeight="0" orientation="portrait" fitToWidth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hidden_data</vt:lpstr>
      <vt:lpstr>account_list_template</vt:lpstr>
      <vt:lpstr>cb_template</vt:lpstr>
      <vt:lpstr>cpt_template</vt:lpstr>
      <vt:lpstr>cpt_template_1col</vt:lpstr>
      <vt:lpstr>cb_template!Zone_d_impression</vt:lpstr>
      <vt:lpstr>cpt_template!Zone_d_impression</vt:lpstr>
      <vt:lpstr>cpt_template_1col!Zone_d_impression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2017-01-30T15:07:59Z</dcterms:created>
  <dcterms:modified xsi:type="dcterms:W3CDTF">2022-12-30T13:17:46Z</dcterms:modified>
</cp:coreProperties>
</file>